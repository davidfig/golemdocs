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51366-1793500163397/"/>
    </mc:Choice>
  </mc:AlternateContent>
  <xr:revisionPtr revIDLastSave="0" documentId="8_{4F07CD01-510F-EF40-8A10-031F574D3A4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45" i="1" a="1"/>
  <c r="B44" i="1" a="1"/>
  <c r="B43" i="1" a="1"/>
  <c r="B42" i="1" a="1"/>
  <c r="B41" i="1" a="1"/>
  <c r="B40" i="1" a="1"/>
  <c r="B39" i="1" a="1"/>
  <c r="B38" i="1" a="1"/>
  <c r="B37" i="1" a="1"/>
  <c r="B36" i="1" a="1"/>
  <c r="B35" i="1" a="1"/>
  <c r="B34" i="1" a="1"/>
  <c r="B33" i="1" a="1"/>
  <c r="B32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<sst xmlns="http://schemas.openxmlformats.org/spreadsheetml/2006/main" count="79" uniqueCount="69">
  <si>
    <t>formula</t>
  </si>
  <si>
    <t>result</t>
  </si>
  <si>
    <t>=PRICE(DATE(2008,2,15),DATE(2017,11,15),0.0575,0.065,100,2,0)</t>
  </si>
  <si>
    <t>=PRICE(DATE(2008,2,15),DATE(2017,11,15),0.0575,0.065,100,2,1)</t>
  </si>
  <si>
    <t>=PRICE(DATE(2008,2,15),DATE(2017,11,15),0.0575,0.065,100,4,4)</t>
  </si>
  <si>
    <t>=PRICE(DATE(2008,2,15),DATE(2008,11,15),0.0575,0.065,100,2,1)</t>
  </si>
  <si>
    <t>=YIELD(DATE(2008,2,15),DATE(2016,11,15),0.0575,95.04287,100,2,0)</t>
  </si>
  <si>
    <t>=YIELD(DATE(2008,2,15),DATE(2008,11,15),0.0575,99.5,100,2,1)</t>
  </si>
  <si>
    <t>=COUPDAYBS(DATE(2011,1,25),DATE(2011,11,15),2,1)</t>
  </si>
  <si>
    <t>=COUPDAYS(DATE(2011,1,25),DATE(2011,11,15),2,1)</t>
  </si>
  <si>
    <t>=COUPDAYSNC(DATE(2011,1,25),DATE(2011,11,15),2,1)</t>
  </si>
  <si>
    <t>=COUPNCD(DATE(2011,1,25),DATE(2011,11,15),2,1)</t>
  </si>
  <si>
    <t>=COUPNUM(DATE(2007,1,25),DATE(2008,11,15),2,1)</t>
  </si>
  <si>
    <t>=COUPPCD(DATE(2011,1,25),DATE(2011,11,15),2,1)</t>
  </si>
  <si>
    <t>=COUPDAYBS(DATE(2011,1,25),DATE(2011,11,15),2,0)</t>
  </si>
  <si>
    <t>=COUPDAYSNC(DATE(2011,1,25),DATE(2011,11,15),2,0)</t>
  </si>
  <si>
    <t>=COUPDAYS(DATE(2011,1,25),DATE(2011,11,15),4,3)</t>
  </si>
  <si>
    <t>=COUPDAYSNC(DATE(2011,1,25),DATE(2011,11,30),2,4)</t>
  </si>
  <si>
    <t>=COUPPCD(DATE(2011,3,31),DATE(2012,2,29),4,0)</t>
  </si>
  <si>
    <t>=DURATION(DATE(2018,7,1),DATE(2048,1,1),0.08,0.09,2,1)</t>
  </si>
  <si>
    <t>=MDURATION(DATE(2008,1,1),DATE(2016,1,1),0.08,0.09,2,1)</t>
  </si>
  <si>
    <t>=ACCRINT(DATE(2008,3,1),DATE(2008,8,31),DATE(2008,5,1),0.1,1000,2,0)</t>
  </si>
  <si>
    <t>=ACCRINT(DATE(2008,3,5),DATE(2008,8,31),DATE(2008,5,1),0.1,1000,2,0,FALSE)</t>
  </si>
  <si>
    <t>=ACCRINT(DATE(2007,1,1),DATE(2007,7,1),DATE(2008,3,15),0.05,1000,2,1)</t>
  </si>
  <si>
    <t>=ACCRINTM(DATE(2008,4,1),DATE(2008,6,15),0.1,1000,3)</t>
  </si>
  <si>
    <t>=DISC(DATE(2018,7,1),DATE(2048,1,1),97.975,100,1)</t>
  </si>
  <si>
    <t>=INTRATE(DATE(2008,2,15),DATE(2008,5,15),1000000,1014420,2)</t>
  </si>
  <si>
    <t>=RECEIVED(DATE(2008,2,15),DATE(2008,5,15),1000000,0.0575,2)</t>
  </si>
  <si>
    <t>=PRICEDISC(DATE(2008,2,16),DATE(2008,3,1),0.0525,100,2)</t>
  </si>
  <si>
    <t>=YIELDDISC(DATE(2008,2,16),DATE(2008,3,1),99.795,100,2)</t>
  </si>
  <si>
    <t>=PRICEMAT(DATE(2008,2,15),DATE(2008,4,13),DATE(2007,11,11),0.061,0.061,0)</t>
  </si>
  <si>
    <t>=PRICEMAT(DATE(2008,2,15),DATE(2008,4,13),DATE(2007,11,11),0.061,0.061,1)</t>
  </si>
  <si>
    <t>=YIELDMAT(DATE(2008,3,15),DATE(2008,11,3),DATE(2007,11,8),0.0625,100.0123,0)</t>
  </si>
  <si>
    <t>=TBILLPRICE(DATE(2008,3,31),DATE(2008,6,1),0.09)</t>
  </si>
  <si>
    <t>=TBILLYIELD(DATE(2008,3,31),DATE(2008,6,1),98.45)</t>
  </si>
  <si>
    <t>=TBILLEQ(DATE(2008,3,31),DATE(2008,6,1),0.0914)</t>
  </si>
  <si>
    <t>=TBILLEQ(DATE(2008,3,31),DATE(2009,2,1),0.0914)</t>
  </si>
  <si>
    <t>=DOLLARDE(1.02,16)</t>
  </si>
  <si>
    <t>=DOLLARFR(1.125,16)</t>
  </si>
  <si>
    <t>=DOLLARDE(1.1,32)</t>
  </si>
  <si>
    <t>=AMORLINC(2400,DATE(2008,8,19),DATE(2008,12,31),300,1,0.15,1)</t>
  </si>
  <si>
    <t>=AMORDEGRC(2400,DATE(2008,8,19),DATE(2008,12,31),300,1,0.15,1)</t>
  </si>
  <si>
    <t>=ODDFPRICE(DATE(2008,11,11),DATE(2021,3,1),DATE(2008,10,15),DATE(2009,3,1),0.0785,0.0625,100,2,1)</t>
  </si>
  <si>
    <t>=ODDFYIELD(DATE(2008,11,11),DATE(2021,3,1),DATE(2008,10,15),DATE(2009,3,1),0.0575,84.5,100,2,0)</t>
  </si>
  <si>
    <t>=ODDLPRICE(DATE(2008,2,7),DATE(2008,6,15),DATE(2007,10,15),0.0375,0.0405,100,2,0)</t>
  </si>
  <si>
    <t>=ODDLYIELD(DATE(2008,4,20),DATE(2008,6,15),DATE(2007,12,24),0.0375,99.875,100,2,0)</t>
  </si>
  <si>
    <t>apple</t>
  </si>
  <si>
    <t>one</t>
  </si>
  <si>
    <t>Name</t>
  </si>
  <si>
    <t>Region</t>
  </si>
  <si>
    <t>Sales</t>
  </si>
  <si>
    <t>abc</t>
  </si>
  <si>
    <t>Banana</t>
  </si>
  <si>
    <t>three</t>
  </si>
  <si>
    <t>East</t>
  </si>
  <si>
    <t>&gt;90</t>
  </si>
  <si>
    <t>West</t>
  </si>
  <si>
    <t>&gt;200</t>
  </si>
  <si>
    <t>cherry</t>
  </si>
  <si>
    <t>five</t>
  </si>
  <si>
    <t>pear</t>
  </si>
  <si>
    <t>seven</t>
  </si>
  <si>
    <t>fig</t>
  </si>
  <si>
    <t>date</t>
  </si>
  <si>
    <t>nine</t>
  </si>
  <si>
    <t>kiwi</t>
  </si>
  <si>
    <t>North</t>
  </si>
  <si>
    <t>plum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</si>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</sst>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PRICE(DATE(2008,2,15),DATE(2017,11,15),0.0575,0.065,100,2,0)</f>
        <v>94.634361621322128</v>
      </c>
    </row>
    <row r="3" spans="1:2" ht="15" x14ac:dyDescent="0.2">
      <c r="A3" t="s">
        <v>3</v>
      </c>
      <c r="B3" cm="1">
        <f t="array" ref="B3">PRICE(DATE(2008,2,15),DATE(2017,11,15),0.0575,0.065,100,2,1)</f>
        <v>94.635449207877201</v>
      </c>
    </row>
    <row r="4" spans="1:2" ht="15" x14ac:dyDescent="0.2">
      <c r="A4" t="s">
        <v>4</v>
      </c>
      <c r="B4" cm="1">
        <f t="array" ref="B4">PRICE(DATE(2008,2,15),DATE(2017,11,15),0.0575,0.065,100,4,4)</f>
        <v>94.615093952137656</v>
      </c>
    </row>
    <row r="5" spans="1:2" ht="15" x14ac:dyDescent="0.2">
      <c r="A5" t="s">
        <v>5</v>
      </c>
      <c r="B5" cm="1">
        <f t="array" ref="B5">PRICE(DATE(2008,2,15),DATE(2008,11,15),0.0575,0.065,100,2,1)</f>
        <v>99.449955601346176</v>
      </c>
    </row>
    <row r="6" spans="1:2" ht="15" x14ac:dyDescent="0.2">
      <c r="A6" t="s">
        <v>6</v>
      </c>
      <c r="B6" cm="1">
        <f t="array" ref="B6">YIELD(DATE(2008,2,15),DATE(2016,11,15),0.0575,95.04287,100,2,0)</f>
        <v>6.5000006880731431E-2</v>
      </c>
    </row>
    <row r="7" spans="1:2" ht="15" x14ac:dyDescent="0.2">
      <c r="A7" t="s">
        <v>7</v>
      </c>
      <c r="B7" cm="1">
        <f t="array" ref="B7">YIELD(DATE(2008,2,15),DATE(2008,11,15),0.0575,99.5,100,2,1)</f>
        <v>6.4301899896769446E-2</v>
      </c>
    </row>
    <row r="8" spans="1:2" ht="15" x14ac:dyDescent="0.2">
      <c r="A8" t="s">
        <v>8</v>
      </c>
      <c r="B8" cm="1">
        <f t="array" ref="B8">COUPDAYBS(DATE(2011,1,25),DATE(2011,11,15),2,1)</f>
        <v>71</v>
      </c>
    </row>
    <row r="9" spans="1:2" ht="15" x14ac:dyDescent="0.2">
      <c r="A9" t="s">
        <v>9</v>
      </c>
      <c r="B9" cm="1">
        <f t="array" ref="B9">COUPDAYS(DATE(2011,1,25),DATE(2011,11,15),2,1)</f>
        <v>181</v>
      </c>
    </row>
    <row r="10" spans="1:2" ht="15" x14ac:dyDescent="0.2">
      <c r="A10" t="s">
        <v>10</v>
      </c>
      <c r="B10" cm="1">
        <f t="array" ref="B10">COUPDAYSNC(DATE(2011,1,25),DATE(2011,11,15),2,1)</f>
        <v>110</v>
      </c>
    </row>
    <row r="11" spans="1:2" ht="15" x14ac:dyDescent="0.2">
      <c r="A11" t="s">
        <v>11</v>
      </c>
      <c r="B11" cm="1">
        <f t="array" ref="B11">COUPNCD(DATE(2011,1,25),DATE(2011,11,15),2,1)</f>
        <v>40678</v>
      </c>
    </row>
    <row r="12" spans="1:2" ht="15" x14ac:dyDescent="0.2">
      <c r="A12" t="s">
        <v>12</v>
      </c>
      <c r="B12" cm="1">
        <f t="array" ref="B12">COUPNUM(DATE(2007,1,25),DATE(2008,11,15),2,1)</f>
        <v>4</v>
      </c>
    </row>
    <row r="13" spans="1:2" ht="15" x14ac:dyDescent="0.2">
      <c r="A13" t="s">
        <v>13</v>
      </c>
      <c r="B13" cm="1">
        <f t="array" ref="B13">COUPPCD(DATE(2011,1,25),DATE(2011,11,15),2,1)</f>
        <v>40497</v>
      </c>
    </row>
    <row r="14" spans="1:2" ht="15" x14ac:dyDescent="0.2">
      <c r="A14" t="s">
        <v>14</v>
      </c>
      <c r="B14" cm="1">
        <f t="array" ref="B14">COUPDAYBS(DATE(2011,1,25),DATE(2011,11,15),2,0)</f>
        <v>70</v>
      </c>
    </row>
    <row r="15" spans="1:2" ht="15" x14ac:dyDescent="0.2">
      <c r="A15" t="s">
        <v>15</v>
      </c>
      <c r="B15" cm="1">
        <f t="array" ref="B15">COUPDAYSNC(DATE(2011,1,25),DATE(2011,11,15),2,0)</f>
        <v>110</v>
      </c>
    </row>
    <row r="16" spans="1:2" ht="15" x14ac:dyDescent="0.2">
      <c r="A16" t="s">
        <v>16</v>
      </c>
      <c r="B16" cm="1">
        <f t="array" ref="B16">COUPDAYS(DATE(2011,1,25),DATE(2011,11,15),4,3)</f>
        <v>91.25</v>
      </c>
    </row>
    <row r="17" spans="1:2" ht="15" x14ac:dyDescent="0.2">
      <c r="A17" t="s">
        <v>17</v>
      </c>
      <c r="B17" cm="1">
        <f t="array" ref="B17">COUPDAYSNC(DATE(2011,1,25),DATE(2011,11,30),2,4)</f>
        <v>125</v>
      </c>
    </row>
    <row r="18" spans="1:2" ht="15" x14ac:dyDescent="0.2">
      <c r="A18" t="s">
        <v>18</v>
      </c>
      <c r="B18" cm="1">
        <f t="array" ref="B18">COUPPCD(DATE(2011,3,31),DATE(2012,2,29),4,0)</f>
        <v>40602</v>
      </c>
    </row>
    <row r="19" spans="1:2" ht="15" x14ac:dyDescent="0.2">
      <c r="A19" t="s">
        <v>19</v>
      </c>
      <c r="B19" cm="1">
        <f t="array" ref="B19">DURATION(DATE(2018,7,1),DATE(2048,1,1),0.08,0.09,2,1)</f>
        <v>10.919145281591932</v>
      </c>
    </row>
    <row r="20" spans="1:2" ht="15" x14ac:dyDescent="0.2">
      <c r="A20" t="s">
        <v>20</v>
      </c>
      <c r="B20" cm="1">
        <f t="array" ref="B20">MDURATION(DATE(2008,1,1),DATE(2016,1,1),0.08,0.09,2,1)</f>
        <v>5.7356698139188387</v>
      </c>
    </row>
    <row r="21" spans="1:2" ht="15" x14ac:dyDescent="0.2">
      <c r="A21" t="s">
        <v>21</v>
      </c>
      <c r="B21" cm="1">
        <f t="array" ref="B21">ACCRINT(DATE(2008,3,1),DATE(2008,8,31),DATE(2008,5,1),0.1,1000,2,0)</f>
        <v>16.666666666666664</v>
      </c>
    </row>
    <row r="22" spans="1:2" ht="15" x14ac:dyDescent="0.2">
      <c r="A22" t="s">
        <v>22</v>
      </c>
      <c r="B22" cm="1">
        <f t="array" ref="B22">ACCRINT(DATE(2008,3,5),DATE(2008,8,31),DATE(2008,5,1),0.1,1000,2,0,FALSE)</f>
        <v>15.555555555555555</v>
      </c>
    </row>
    <row r="23" spans="1:2" ht="15" x14ac:dyDescent="0.2">
      <c r="A23" t="s">
        <v>23</v>
      </c>
      <c r="B23" cm="1">
        <f t="array" ref="B23">ACCRINT(DATE(2007,1,1),DATE(2007,7,1),DATE(2008,3,15),0.05,1000,2,1)</f>
        <v>60.22099447513812</v>
      </c>
    </row>
    <row r="24" spans="1:2" ht="15" x14ac:dyDescent="0.2">
      <c r="A24" t="s">
        <v>24</v>
      </c>
      <c r="B24" cm="1">
        <f t="array" ref="B24">ACCRINTM(DATE(2008,4,1),DATE(2008,6,15),0.1,1000,3)</f>
        <v>20.547945205479451</v>
      </c>
    </row>
    <row r="25" spans="1:2" ht="15" x14ac:dyDescent="0.2">
      <c r="A25" t="s">
        <v>25</v>
      </c>
      <c r="B25" cm="1">
        <f t="array" ref="B25">DISC(DATE(2018,7,1),DATE(2048,1,1),97.975,100,1)</f>
        <v>6.8638416912134839E-4</v>
      </c>
    </row>
    <row r="26" spans="1:2" ht="15" x14ac:dyDescent="0.2">
      <c r="A26" t="s">
        <v>26</v>
      </c>
      <c r="B26" cm="1">
        <f t="array" ref="B26">INTRATE(DATE(2008,2,15),DATE(2008,5,15),1000000,1014420,2)</f>
        <v>5.7680000000000002E-2</v>
      </c>
    </row>
    <row r="27" spans="1:2" ht="15" x14ac:dyDescent="0.2">
      <c r="A27" t="s">
        <v>27</v>
      </c>
      <c r="B27" cm="1">
        <f t="array" ref="B27">RECEIVED(DATE(2008,2,15),DATE(2008,5,15),1000000,0.0575,2)</f>
        <v>1014584.6544071021</v>
      </c>
    </row>
    <row r="28" spans="1:2" ht="15" x14ac:dyDescent="0.2">
      <c r="A28" t="s">
        <v>28</v>
      </c>
      <c r="B28" cm="1">
        <f t="array" ref="B28">PRICEDISC(DATE(2008,2,16),DATE(2008,3,1),0.0525,100,2)</f>
        <v>99.795833333333334</v>
      </c>
    </row>
    <row r="29" spans="1:2" ht="15" x14ac:dyDescent="0.2">
      <c r="A29" t="s">
        <v>29</v>
      </c>
      <c r="B29" cm="1">
        <f t="array" ref="B29">YIELDDISC(DATE(2008,2,16),DATE(2008,3,1),99.795,100,2)</f>
        <v>5.2822571986858337E-2</v>
      </c>
    </row>
    <row r="30" spans="1:2" ht="15" x14ac:dyDescent="0.2">
      <c r="A30" t="s">
        <v>30</v>
      </c>
      <c r="B30" cm="1">
        <f t="array" ref="B30">PRICEMAT(DATE(2008,2,15),DATE(2008,4,13),DATE(2007,11,11),0.061,0.061,0)</f>
        <v>99.984498875556937</v>
      </c>
    </row>
    <row r="31" spans="1:2" ht="15" x14ac:dyDescent="0.2">
      <c r="A31" t="s">
        <v>31</v>
      </c>
      <c r="B31" cm="1">
        <f t="array" ref="B31">PRICEMAT(DATE(2008,2,15),DATE(2008,4,13),DATE(2007,11,11),0.061,0.061,1)</f>
        <v>99.984597764569472</v>
      </c>
    </row>
    <row r="32" spans="1:2" ht="15" x14ac:dyDescent="0.2">
      <c r="A32" t="s">
        <v>32</v>
      </c>
      <c r="B32" cm="1">
        <f t="array" ref="B32">YIELDMAT(DATE(2008,3,15),DATE(2008,11,3),DATE(2007,11,8),0.0625,100.0123,0)</f>
        <v>6.0954333691538673E-2</v>
      </c>
    </row>
    <row r="33" spans="1:2" ht="15" x14ac:dyDescent="0.2">
      <c r="A33" t="s">
        <v>33</v>
      </c>
      <c r="B33" cm="1">
        <f t="array" ref="B33">TBILLPRICE(DATE(2008,3,31),DATE(2008,6,1),0.09)</f>
        <v>98.45</v>
      </c>
    </row>
    <row r="34" spans="1:2" ht="15" x14ac:dyDescent="0.2">
      <c r="A34" t="s">
        <v>34</v>
      </c>
      <c r="B34" cm="1">
        <f t="array" ref="B34">TBILLYIELD(DATE(2008,3,31),DATE(2008,6,1),98.45)</f>
        <v>9.141696292534264E-2</v>
      </c>
    </row>
    <row r="35" spans="1:2" ht="15" x14ac:dyDescent="0.2">
      <c r="A35" t="s">
        <v>35</v>
      </c>
      <c r="B35" cm="1">
        <f t="array" ref="B35">TBILLEQ(DATE(2008,3,31),DATE(2008,6,1),0.0914)</f>
        <v>9.4151493565943017E-2</v>
      </c>
    </row>
    <row r="36" spans="1:2" ht="15" x14ac:dyDescent="0.2">
      <c r="A36" t="s">
        <v>36</v>
      </c>
      <c r="B36" cm="1">
        <f t="array" ref="B36">TBILLEQ(DATE(2008,3,31),DATE(2009,2,1),0.0914)</f>
        <v>9.8534356868728801E-2</v>
      </c>
    </row>
    <row r="37" spans="1:2" ht="15" x14ac:dyDescent="0.2">
      <c r="A37" t="s">
        <v>37</v>
      </c>
      <c r="B37" cm="1">
        <f t="array" ref="B37">DOLLARDE(1.02,16)</f>
        <v>1.125</v>
      </c>
    </row>
    <row r="38" spans="1:2" ht="15" x14ac:dyDescent="0.2">
      <c r="A38" t="s">
        <v>38</v>
      </c>
      <c r="B38" cm="1">
        <f t="array" ref="B38">DOLLARFR(1.125,16)</f>
        <v>1.02</v>
      </c>
    </row>
    <row r="39" spans="1:2" ht="15" x14ac:dyDescent="0.2">
      <c r="A39" t="s">
        <v>39</v>
      </c>
      <c r="B39" cm="1">
        <f t="array" ref="B39">DOLLARDE(1.1,32)</f>
        <v>1.3125000000000002</v>
      </c>
    </row>
    <row r="40" spans="1:2" ht="15" x14ac:dyDescent="0.2">
      <c r="A40" t="s">
        <v>40</v>
      </c>
      <c r="B40" cm="1">
        <f t="array" ref="B40">AMORLINC(2400,DATE(2008,8,19),DATE(2008,12,31),300,1,0.15,1)</f>
        <v>360</v>
      </c>
    </row>
    <row r="41" spans="1:2" ht="15" x14ac:dyDescent="0.2">
      <c r="A41" t="s">
        <v>41</v>
      </c>
      <c r="B41" cm="1">
        <f t="array" ref="B41">AMORDEGRC(2400,DATE(2008,8,19),DATE(2008,12,31),300,1,0.15,1)</f>
        <v>776</v>
      </c>
    </row>
    <row r="42" spans="1:2" ht="15" x14ac:dyDescent="0.2">
      <c r="A42" t="s">
        <v>42</v>
      </c>
      <c r="B42" cm="1">
        <f t="array" ref="B42">ODDFPRICE(DATE(2008,11,11),DATE(2021,3,1),DATE(2008,10,15),DATE(2009,3,1),0.0785,0.0625,100,2,1)</f>
        <v>113.59771747407883</v>
      </c>
    </row>
    <row r="43" spans="1:2" ht="15" x14ac:dyDescent="0.2">
      <c r="A43" t="s">
        <v>43</v>
      </c>
      <c r="B43" cm="1">
        <f t="array" ref="B43">ODDFYIELD(DATE(2008,11,11),DATE(2021,3,1),DATE(2008,10,15),DATE(2009,3,1),0.0575,84.5,100,2,0)</f>
        <v>7.7245541597298878E-2</v>
      </c>
    </row>
    <row r="44" spans="1:2" ht="15" x14ac:dyDescent="0.2">
      <c r="A44" t="s">
        <v>44</v>
      </c>
      <c r="B44" cm="1">
        <f t="array" ref="B44">ODDLPRICE(DATE(2008,2,7),DATE(2008,6,15),DATE(2007,10,15),0.0375,0.0405,100,2,0)</f>
        <v>99.87828601472134</v>
      </c>
    </row>
    <row r="45" spans="1:2" ht="15" x14ac:dyDescent="0.2">
      <c r="A45" t="s">
        <v>45</v>
      </c>
      <c r="B45" cm="1">
        <f t="array" ref="B45">ODDLYIELD(DATE(2008,4,20),DATE(2008,6,15),DATE(2007,12,24),0.0375,99.875,100,2,0)</f>
        <v>4.5192235629169158E-2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/>
  </sheetViews>
  <sheetFormatPr baseColWidth="10" defaultRowHeight="16" x14ac:dyDescent="0.2"/>
  <sheetData>
    <row r="1" spans="1:17" ht="15" x14ac:dyDescent="0.2">
      <c r="A1">
        <v>1</v>
      </c>
      <c r="B1">
        <v>5</v>
      </c>
      <c r="C1" t="s">
        <v>46</v>
      </c>
      <c r="D1">
        <v>10</v>
      </c>
      <c r="E1">
        <v>1</v>
      </c>
      <c r="F1" t="s">
        <v>47</v>
      </c>
      <c r="G1">
        <v>59</v>
      </c>
      <c r="H1">
        <v>2.5</v>
      </c>
      <c r="I1" t="s">
        <v>48</v>
      </c>
      <c r="J1" t="s">
        <v>49</v>
      </c>
      <c r="K1" t="s">
        <v>50</v>
      </c>
      <c r="L1" t="s">
        <v>49</v>
      </c>
      <c r="M1" t="s">
        <v>50</v>
      </c>
      <c r="N1" t="s">
        <v>49</v>
      </c>
      <c r="O1" t="s">
        <v>50</v>
      </c>
      <c r="P1">
        <v>5</v>
      </c>
      <c r="Q1">
        <v>2</v>
      </c>
    </row>
    <row r="2" spans="1:17" ht="15" x14ac:dyDescent="0.2">
      <c r="A2">
        <v>2</v>
      </c>
      <c r="B2" t="s">
        <v>51</v>
      </c>
      <c r="C2" t="s">
        <v>52</v>
      </c>
      <c r="D2">
        <v>20</v>
      </c>
      <c r="E2">
        <v>3</v>
      </c>
      <c r="F2" t="s">
        <v>53</v>
      </c>
      <c r="G2">
        <v>61</v>
      </c>
      <c r="H2">
        <v>3.1</v>
      </c>
      <c r="I2" t="s">
        <v>46</v>
      </c>
      <c r="J2" t="s">
        <v>54</v>
      </c>
      <c r="K2">
        <v>100</v>
      </c>
      <c r="L2" t="s">
        <v>54</v>
      </c>
      <c r="M2" t="s">
        <v>55</v>
      </c>
      <c r="N2" t="s">
        <v>56</v>
      </c>
      <c r="O2" t="s">
        <v>57</v>
      </c>
      <c r="P2">
        <v>3</v>
      </c>
      <c r="Q2">
        <v>7</v>
      </c>
    </row>
    <row r="3" spans="1:17" ht="15" x14ac:dyDescent="0.2">
      <c r="A3">
        <v>3</v>
      </c>
      <c r="B3" t="b">
        <v>1</v>
      </c>
      <c r="C3" t="s">
        <v>58</v>
      </c>
      <c r="D3">
        <v>30</v>
      </c>
      <c r="E3">
        <v>5</v>
      </c>
      <c r="F3" t="s">
        <v>59</v>
      </c>
      <c r="G3">
        <v>45351</v>
      </c>
      <c r="H3">
        <v>4.7</v>
      </c>
      <c r="I3" t="s">
        <v>60</v>
      </c>
      <c r="J3" t="s">
        <v>56</v>
      </c>
      <c r="K3">
        <v>250</v>
      </c>
      <c r="P3">
        <v>8</v>
      </c>
      <c r="Q3">
        <v>1</v>
      </c>
    </row>
    <row r="4" spans="1:17" ht="15" x14ac:dyDescent="0.2">
      <c r="A4">
        <v>4</v>
      </c>
      <c r="C4" t="s">
        <v>46</v>
      </c>
      <c r="D4">
        <v>40</v>
      </c>
      <c r="E4">
        <v>7</v>
      </c>
      <c r="F4" t="s">
        <v>61</v>
      </c>
      <c r="G4">
        <v>45657</v>
      </c>
      <c r="H4">
        <v>1.2</v>
      </c>
      <c r="I4" t="s">
        <v>62</v>
      </c>
      <c r="J4" t="s">
        <v>54</v>
      </c>
      <c r="K4">
        <v>75</v>
      </c>
      <c r="P4">
        <v>1</v>
      </c>
      <c r="Q4">
        <v>8</v>
      </c>
    </row>
    <row r="5" spans="1:17" ht="15" x14ac:dyDescent="0.2">
      <c r="A5">
        <v>5</v>
      </c>
      <c r="B5" t="e">
        <f>NA()</f>
        <v>#N/A</v>
      </c>
      <c r="C5" t="s">
        <v>63</v>
      </c>
      <c r="D5">
        <v>50</v>
      </c>
      <c r="E5">
        <v>9</v>
      </c>
      <c r="F5" t="s">
        <v>64</v>
      </c>
      <c r="H5">
        <v>9.9</v>
      </c>
      <c r="I5" t="s">
        <v>65</v>
      </c>
      <c r="J5" t="s">
        <v>66</v>
      </c>
      <c r="K5">
        <v>300</v>
      </c>
      <c r="P5">
        <v>9</v>
      </c>
      <c r="Q5">
        <v>2</v>
      </c>
    </row>
    <row r="6" spans="1:17" ht="15" x14ac:dyDescent="0.2">
      <c r="A6">
        <v>6</v>
      </c>
      <c r="B6">
        <v>45000</v>
      </c>
      <c r="H6">
        <v>3.3</v>
      </c>
      <c r="I6" t="s">
        <v>67</v>
      </c>
      <c r="J6" t="s">
        <v>56</v>
      </c>
      <c r="K6">
        <v>125</v>
      </c>
      <c r="P6">
        <v>2</v>
      </c>
      <c r="Q6">
        <v>8</v>
      </c>
    </row>
    <row r="7" spans="1:17" ht="15" x14ac:dyDescent="0.2">
      <c r="A7">
        <v>7</v>
      </c>
      <c r="B7" t="s">
        <v>68</v>
      </c>
      <c r="H7">
        <v>7.4</v>
      </c>
      <c r="P7">
        <v>7</v>
      </c>
      <c r="Q7">
        <v>1</v>
      </c>
    </row>
    <row r="8" spans="1:17" ht="15" x14ac:dyDescent="0.2">
      <c r="A8">
        <v>8</v>
      </c>
      <c r="B8">
        <v>0</v>
      </c>
      <c r="H8">
        <v>5.5</v>
      </c>
      <c r="P8">
        <v>4</v>
      </c>
      <c r="Q8">
        <v>8</v>
      </c>
    </row>
    <row r="9" spans="1:17" ht="15" x14ac:dyDescent="0.2">
      <c r="A9">
        <v>9</v>
      </c>
      <c r="B9">
        <v>-3.5</v>
      </c>
    </row>
    <row r="10" spans="1:17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2026-11-01T02:29:25Z</dcterms:created>
  <dcterms:modified xsi:type="dcterms:W3CDTF">2026-11-01T02:29:25Z</dcterms:modified>
</cp:coreProperties>
</file>