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fig/Library/Containers/com.microsoft.Excel/Data/golemdocs-sheets/16591-1793485835374/"/>
    </mc:Choice>
  </mc:AlternateContent>
  <xr:revisionPtr revIDLastSave="0" documentId="8_{AB94A2F3-4941-924A-A804-B4D6CB6EEB93}" xr6:coauthVersionLast="47" xr6:coauthVersionMax="47" xr10:uidLastSave="{00000000-0000-0000-0000-000000000000}"/>
  <bookViews>
    <workbookView xWindow="0" yWindow="0" windowWidth="34560" windowHeight="22340" xr2:uid="{00000000-000D-0000-FFFF-FFFF00000000}"/>
  </bookViews>
  <sheets>
    <sheet name="Cases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" l="1"/>
  <c r="B5" i="2"/>
  <c r="B28" i="1" a="1"/>
  <c r="B27" i="1" a="1"/>
  <c r="B26" i="1" a="1"/>
  <c r="B25" i="1" a="1"/>
  <c r="B24" i="1" a="1"/>
  <c r="B23" i="1" a="1"/>
  <c r="B22" i="1" a="1"/>
  <c r="B21" i="1" a="1"/>
  <c r="B20" i="1" a="1"/>
  <c r="B19" i="1" a="1"/>
  <c r="B18" i="1" a="1"/>
  <c r="B17" i="1" a="1"/>
  <c r="B16" i="1" a="1"/>
  <c r="B15" i="1" a="1"/>
  <c r="B14" i="1" a="1"/>
  <c r="B13" i="1" a="1"/>
  <c r="B12" i="1" a="1"/>
  <c r="B11" i="1" a="1"/>
  <c r="B10" i="1" a="1"/>
  <c r="B9" i="1" a="1"/>
  <c r="B8" i="1" a="1"/>
  <c r="B7" i="1" a="1"/>
  <c r="B6" i="1" a="1"/>
  <c r="B5" i="1" a="1"/>
  <c r="B4" i="1" a="1"/>
  <c r="B3" i="1" a="1"/>
  <c r="B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<sst xmlns="http://schemas.openxmlformats.org/spreadsheetml/2006/main" count="41" uniqueCount="40">
  <si>
    <t>formula</t>
  </si>
  <si>
    <t>result</t>
  </si>
  <si>
    <t>=DATE(2024,2,29)</t>
  </si>
  <si>
    <t>=DATE(2023,2,29)</t>
  </si>
  <si>
    <t>=DATE(2024,13,1)</t>
  </si>
  <si>
    <t>=DATE(1900,2,29)</t>
  </si>
  <si>
    <t>=DATE(99,1,1)</t>
  </si>
  <si>
    <t>=YEAR(Data!G1)</t>
  </si>
  <si>
    <t>=MONTH(Data!G2)</t>
  </si>
  <si>
    <t>=DAY(60)</t>
  </si>
  <si>
    <t>=WEEKDAY(Data!G3)</t>
  </si>
  <si>
    <t>=WEEKDAY(Data!G3,2)</t>
  </si>
  <si>
    <t>=WEEKNUM(Data!G4)</t>
  </si>
  <si>
    <t>=ISOWEEKNUM(Data!G4)</t>
  </si>
  <si>
    <t>=EOMONTH(Data!G3,1)</t>
  </si>
  <si>
    <t>=EDATE(DATE(2024,1,31),1)</t>
  </si>
  <si>
    <t>=DATEDIF(DATE(2020,2,29),DATE(2024,2,28),"Y")</t>
  </si>
  <si>
    <t>=DATEDIF(DATE(2020,1,31),DATE(2020,3,1),"MD")</t>
  </si>
  <si>
    <t>=DAYS(Data!G4,Data!G3)</t>
  </si>
  <si>
    <t>=DAYS360(DATE(2024,1,31),DATE(2024,3,31))</t>
  </si>
  <si>
    <t>=NETWORKDAYS(DATE(2024,1,1),DATE(2024,1,31))</t>
  </si>
  <si>
    <t>=WORKDAY(DATE(2024,1,5),1)</t>
  </si>
  <si>
    <t>=YEARFRAC(DATE(2024,1,1),DATE(2024,7,1),1)</t>
  </si>
  <si>
    <t>=DATEVALUE("2024-02-29")</t>
  </si>
  <si>
    <t>=TIMEVALUE("6:30 PM")</t>
  </si>
  <si>
    <t>=TIME(25,0,0)</t>
  </si>
  <si>
    <t>=HOUR(0.75)</t>
  </si>
  <si>
    <t>=MINUTE(0.7604166)</t>
  </si>
  <si>
    <t>=SECOND(TIME(0,0,59.5))</t>
  </si>
  <si>
    <t>apple</t>
  </si>
  <si>
    <t>one</t>
  </si>
  <si>
    <t>abc</t>
  </si>
  <si>
    <t>Banana</t>
  </si>
  <si>
    <t>three</t>
  </si>
  <si>
    <t>cherry</t>
  </si>
  <si>
    <t>five</t>
  </si>
  <si>
    <t>seven</t>
  </si>
  <si>
    <t>date</t>
  </si>
  <si>
    <t>nine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</si>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</sst>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/>
  </sheetViews>
  <sheetFormatPr baseColWidth="10" defaultRowHeight="16" x14ac:dyDescent="0.2"/>
  <cols>
    <col min="1" max="1" width="48" customWidth="1"/>
    <col min="2" max="8" width="16" customWidth="1"/>
  </cols>
  <sheetData>
    <row r="1" spans="1:2" ht="15" x14ac:dyDescent="0.2">
      <c r="A1" s="1" t="s">
        <v>0</v>
      </c>
      <c r="B1" s="1" t="s">
        <v>1</v>
      </c>
    </row>
    <row r="2" spans="1:2" ht="15" x14ac:dyDescent="0.2">
      <c r="A2" t="s">
        <v>2</v>
      </c>
      <c r="B2" cm="1">
        <f t="array" ref="B2">DATE(2024,2,29)</f>
        <v>45351</v>
      </c>
    </row>
    <row r="3" spans="1:2" ht="15" x14ac:dyDescent="0.2">
      <c r="A3" t="s">
        <v>3</v>
      </c>
      <c r="B3" cm="1">
        <f t="array" ref="B3">DATE(2023,2,29)</f>
        <v>44986</v>
      </c>
    </row>
    <row r="4" spans="1:2" ht="15" x14ac:dyDescent="0.2">
      <c r="A4" t="s">
        <v>4</v>
      </c>
      <c r="B4" cm="1">
        <f t="array" ref="B4">DATE(2024,13,1)</f>
        <v>45658</v>
      </c>
    </row>
    <row r="5" spans="1:2" ht="15" x14ac:dyDescent="0.2">
      <c r="A5" t="s">
        <v>5</v>
      </c>
      <c r="B5" cm="1">
        <f t="array" ref="B5">DATE(1900,2,29)</f>
        <v>60</v>
      </c>
    </row>
    <row r="6" spans="1:2" ht="15" x14ac:dyDescent="0.2">
      <c r="A6" t="s">
        <v>6</v>
      </c>
      <c r="B6" cm="1">
        <f t="array" ref="B6">DATE(99,1,1)</f>
        <v>36161</v>
      </c>
    </row>
    <row r="7" spans="1:2" ht="15" x14ac:dyDescent="0.2">
      <c r="A7" t="s">
        <v>7</v>
      </c>
      <c r="B7" cm="1">
        <f t="array" ref="B7">YEAR(Data!G1)</f>
        <v>1900</v>
      </c>
    </row>
    <row r="8" spans="1:2" ht="15" x14ac:dyDescent="0.2">
      <c r="A8" t="s">
        <v>8</v>
      </c>
      <c r="B8" cm="1">
        <f t="array" ref="B8">MONTH(Data!G2)</f>
        <v>3</v>
      </c>
    </row>
    <row r="9" spans="1:2" ht="15" x14ac:dyDescent="0.2">
      <c r="A9" t="s">
        <v>9</v>
      </c>
      <c r="B9" cm="1">
        <f t="array" ref="B9">DAY(60)</f>
        <v>29</v>
      </c>
    </row>
    <row r="10" spans="1:2" ht="15" x14ac:dyDescent="0.2">
      <c r="A10" t="s">
        <v>10</v>
      </c>
      <c r="B10" cm="1">
        <f t="array" ref="B10">WEEKDAY(Data!G3)</f>
        <v>5</v>
      </c>
    </row>
    <row r="11" spans="1:2" ht="15" x14ac:dyDescent="0.2">
      <c r="A11" t="s">
        <v>11</v>
      </c>
      <c r="B11" cm="1">
        <f t="array" ref="B11">WEEKDAY(Data!G3,2)</f>
        <v>4</v>
      </c>
    </row>
    <row r="12" spans="1:2" ht="15" x14ac:dyDescent="0.2">
      <c r="A12" t="s">
        <v>12</v>
      </c>
      <c r="B12" cm="1">
        <f t="array" ref="B12">WEEKNUM(Data!G4)</f>
        <v>53</v>
      </c>
    </row>
    <row r="13" spans="1:2" ht="15" x14ac:dyDescent="0.2">
      <c r="A13" t="s">
        <v>13</v>
      </c>
      <c r="B13" cm="1">
        <f t="array" ref="B13">_xlfn.ISOWEEKNUM(Data!G4)</f>
        <v>1</v>
      </c>
    </row>
    <row r="14" spans="1:2" ht="15" x14ac:dyDescent="0.2">
      <c r="A14" t="s">
        <v>14</v>
      </c>
      <c r="B14" cm="1">
        <f t="array" ref="B14">EOMONTH(Data!G3,1)</f>
        <v>45382</v>
      </c>
    </row>
    <row r="15" spans="1:2" ht="15" x14ac:dyDescent="0.2">
      <c r="A15" t="s">
        <v>15</v>
      </c>
      <c r="B15" cm="1">
        <f t="array" ref="B15">EDATE(DATE(2024,1,31),1)</f>
        <v>45351</v>
      </c>
    </row>
    <row r="16" spans="1:2" ht="15" x14ac:dyDescent="0.2">
      <c r="A16" t="s">
        <v>16</v>
      </c>
      <c r="B16" cm="1">
        <f t="array" ref="B16">DATEDIF(DATE(2020,2,29),DATE(2024,2,28),"Y")</f>
        <v>3</v>
      </c>
    </row>
    <row r="17" spans="1:2" ht="15" x14ac:dyDescent="0.2">
      <c r="A17" t="s">
        <v>17</v>
      </c>
      <c r="B17" cm="1">
        <f t="array" ref="B17">DATEDIF(DATE(2020,1,31),DATE(2020,3,1),"MD")</f>
        <v>-1</v>
      </c>
    </row>
    <row r="18" spans="1:2" ht="15" x14ac:dyDescent="0.2">
      <c r="A18" t="s">
        <v>18</v>
      </c>
      <c r="B18" cm="1">
        <f t="array" ref="B18">_xlfn.DAYS(Data!G4,Data!G3)</f>
        <v>306</v>
      </c>
    </row>
    <row r="19" spans="1:2" ht="15" x14ac:dyDescent="0.2">
      <c r="A19" t="s">
        <v>19</v>
      </c>
      <c r="B19" cm="1">
        <f t="array" ref="B19">DAYS360(DATE(2024,1,31),DATE(2024,3,31))</f>
        <v>60</v>
      </c>
    </row>
    <row r="20" spans="1:2" ht="15" x14ac:dyDescent="0.2">
      <c r="A20" t="s">
        <v>20</v>
      </c>
      <c r="B20" cm="1">
        <f t="array" ref="B20">NETWORKDAYS(DATE(2024,1,1),DATE(2024,1,31))</f>
        <v>23</v>
      </c>
    </row>
    <row r="21" spans="1:2" ht="15" x14ac:dyDescent="0.2">
      <c r="A21" t="s">
        <v>21</v>
      </c>
      <c r="B21" cm="1">
        <f t="array" ref="B21">WORKDAY(DATE(2024,1,5),1)</f>
        <v>45299</v>
      </c>
    </row>
    <row r="22" spans="1:2" ht="15" x14ac:dyDescent="0.2">
      <c r="A22" t="s">
        <v>22</v>
      </c>
      <c r="B22" cm="1">
        <f t="array" ref="B22">YEARFRAC(DATE(2024,1,1),DATE(2024,7,1),1)</f>
        <v>0.49726775956284153</v>
      </c>
    </row>
    <row r="23" spans="1:2" ht="15" x14ac:dyDescent="0.2">
      <c r="A23" t="s">
        <v>23</v>
      </c>
      <c r="B23" cm="1">
        <f t="array" ref="B23">DATEVALUE("2024-02-29")</f>
        <v>45351</v>
      </c>
    </row>
    <row r="24" spans="1:2" ht="15" x14ac:dyDescent="0.2">
      <c r="A24" t="s">
        <v>24</v>
      </c>
      <c r="B24" cm="1">
        <f t="array" ref="B24">TIMEVALUE("6:30 PM")</f>
        <v>0.77083333333333337</v>
      </c>
    </row>
    <row r="25" spans="1:2" ht="15" x14ac:dyDescent="0.2">
      <c r="A25" t="s">
        <v>25</v>
      </c>
      <c r="B25" cm="1">
        <f t="array" ref="B25">TIME(25,0,0)</f>
        <v>4.1666666666666741E-2</v>
      </c>
    </row>
    <row r="26" spans="1:2" ht="15" x14ac:dyDescent="0.2">
      <c r="A26" t="s">
        <v>26</v>
      </c>
      <c r="B26" cm="1">
        <f t="array" ref="B26">HOUR(0.75)</f>
        <v>18</v>
      </c>
    </row>
    <row r="27" spans="1:2" ht="15" x14ac:dyDescent="0.2">
      <c r="A27" t="s">
        <v>27</v>
      </c>
      <c r="B27" cm="1">
        <f t="array" ref="B27">MINUTE(0.7604166)</f>
        <v>15</v>
      </c>
    </row>
    <row r="28" spans="1:2" ht="15" x14ac:dyDescent="0.2">
      <c r="A28" t="s">
        <v>28</v>
      </c>
      <c r="B28" cm="1">
        <f t="array" ref="B28">SECOND(TIME(0,0,59.5))</f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workbookViewId="0"/>
  </sheetViews>
  <sheetFormatPr baseColWidth="10" defaultRowHeight="16" x14ac:dyDescent="0.2"/>
  <sheetData>
    <row r="1" spans="1:8" ht="15" x14ac:dyDescent="0.2">
      <c r="A1">
        <v>1</v>
      </c>
      <c r="B1">
        <v>5</v>
      </c>
      <c r="C1" t="s">
        <v>29</v>
      </c>
      <c r="D1">
        <v>10</v>
      </c>
      <c r="E1">
        <v>1</v>
      </c>
      <c r="F1" t="s">
        <v>30</v>
      </c>
      <c r="G1">
        <v>59</v>
      </c>
      <c r="H1">
        <v>2.5</v>
      </c>
    </row>
    <row r="2" spans="1:8" ht="15" x14ac:dyDescent="0.2">
      <c r="A2">
        <v>2</v>
      </c>
      <c r="B2" t="s">
        <v>31</v>
      </c>
      <c r="C2" t="s">
        <v>32</v>
      </c>
      <c r="D2">
        <v>20</v>
      </c>
      <c r="E2">
        <v>3</v>
      </c>
      <c r="F2" t="s">
        <v>33</v>
      </c>
      <c r="G2">
        <v>61</v>
      </c>
      <c r="H2">
        <v>3.1</v>
      </c>
    </row>
    <row r="3" spans="1:8" ht="15" x14ac:dyDescent="0.2">
      <c r="A3">
        <v>3</v>
      </c>
      <c r="B3" t="b">
        <v>1</v>
      </c>
      <c r="C3" t="s">
        <v>34</v>
      </c>
      <c r="D3">
        <v>30</v>
      </c>
      <c r="E3">
        <v>5</v>
      </c>
      <c r="F3" t="s">
        <v>35</v>
      </c>
      <c r="G3">
        <v>45351</v>
      </c>
      <c r="H3">
        <v>4.7</v>
      </c>
    </row>
    <row r="4" spans="1:8" ht="15" x14ac:dyDescent="0.2">
      <c r="A4">
        <v>4</v>
      </c>
      <c r="C4" t="s">
        <v>29</v>
      </c>
      <c r="D4">
        <v>40</v>
      </c>
      <c r="E4">
        <v>7</v>
      </c>
      <c r="F4" t="s">
        <v>36</v>
      </c>
      <c r="G4">
        <v>45657</v>
      </c>
      <c r="H4">
        <v>1.2</v>
      </c>
    </row>
    <row r="5" spans="1:8" ht="15" x14ac:dyDescent="0.2">
      <c r="A5">
        <v>5</v>
      </c>
      <c r="B5" t="e">
        <f>NA()</f>
        <v>#N/A</v>
      </c>
      <c r="C5" t="s">
        <v>37</v>
      </c>
      <c r="D5">
        <v>50</v>
      </c>
      <c r="E5">
        <v>9</v>
      </c>
      <c r="F5" t="s">
        <v>38</v>
      </c>
      <c r="H5">
        <v>9.9</v>
      </c>
    </row>
    <row r="6" spans="1:8" ht="15" x14ac:dyDescent="0.2">
      <c r="A6">
        <v>6</v>
      </c>
      <c r="B6">
        <v>45000</v>
      </c>
      <c r="H6">
        <v>3.3</v>
      </c>
    </row>
    <row r="7" spans="1:8" ht="15" x14ac:dyDescent="0.2">
      <c r="A7">
        <v>7</v>
      </c>
      <c r="B7" t="s">
        <v>39</v>
      </c>
      <c r="H7">
        <v>7.4</v>
      </c>
    </row>
    <row r="8" spans="1:8" ht="15" x14ac:dyDescent="0.2">
      <c r="A8">
        <v>8</v>
      </c>
      <c r="B8">
        <v>0</v>
      </c>
      <c r="H8">
        <v>5.5</v>
      </c>
    </row>
    <row r="9" spans="1:8" ht="15" x14ac:dyDescent="0.2">
      <c r="A9">
        <v>9</v>
      </c>
      <c r="B9">
        <v>-3.5</v>
      </c>
    </row>
    <row r="10" spans="1:8" ht="15" x14ac:dyDescent="0.2">
      <c r="A10">
        <v>10</v>
      </c>
      <c r="B10" t="str">
        <f>""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Figatner</cp:lastModifiedBy>
  <dcterms:created xsi:type="dcterms:W3CDTF">2026-10-31T22:30:40Z</dcterms:created>
  <dcterms:modified xsi:type="dcterms:W3CDTF">2026-10-31T22:30:40Z</dcterms:modified>
</cp:coreProperties>
</file>