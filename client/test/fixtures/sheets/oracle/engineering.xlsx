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51366-1793500163397/"/>
    </mc:Choice>
  </mc:AlternateContent>
  <xr:revisionPtr revIDLastSave="0" documentId="8_{86601F1C-8A14-AA4D-B762-629F6BFBEF5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ase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5" i="2"/>
  <c r="B74" i="1" a="1"/>
  <c r="B73" i="1" a="1"/>
  <c r="B72" i="1" a="1"/>
  <c r="B71" i="1" a="1"/>
  <c r="B70" i="1" a="1"/>
  <c r="B69" i="1" a="1"/>
  <c r="B68" i="1" a="1"/>
  <c r="B67" i="1" a="1"/>
  <c r="B66" i="1" a="1"/>
  <c r="B65" i="1" a="1"/>
  <c r="B64" i="1" a="1"/>
  <c r="B63" i="1" a="1"/>
  <c r="B62" i="1" a="1"/>
  <c r="B61" i="1" a="1"/>
  <c r="B60" i="1" a="1"/>
  <c r="B59" i="1" a="1"/>
  <c r="B58" i="1" a="1"/>
  <c r="B57" i="1" a="1"/>
  <c r="B56" i="1" a="1"/>
  <c r="B55" i="1" a="1"/>
  <c r="B54" i="1" a="1"/>
  <c r="B53" i="1" a="1"/>
  <c r="B52" i="1" a="1"/>
  <c r="B51" i="1" a="1"/>
  <c r="B50" i="1" a="1"/>
  <c r="B49" i="1" a="1"/>
  <c r="B48" i="1" a="1"/>
  <c r="B47" i="1" a="1"/>
  <c r="B46" i="1" a="1"/>
  <c r="B45" i="1" a="1"/>
  <c r="B44" i="1" a="1"/>
  <c r="B43" i="1" a="1"/>
  <c r="B42" i="1" a="1"/>
  <c r="B41" i="1" a="1"/>
  <c r="B40" i="1" a="1"/>
  <c r="B39" i="1" a="1"/>
  <c r="B38" i="1" a="1"/>
  <c r="B37" i="1" a="1"/>
  <c r="B36" i="1" a="1"/>
  <c r="B35" i="1" a="1"/>
  <c r="B34" i="1" a="1"/>
  <c r="B33" i="1" a="1"/>
  <c r="B32" i="1" a="1"/>
  <c r="B31" i="1" a="1"/>
  <c r="B30" i="1" a="1"/>
  <c r="B29" i="1" a="1"/>
  <c r="B28" i="1" a="1"/>
  <c r="B27" i="1" a="1"/>
  <c r="B26" i="1" a="1"/>
  <c r="B25" i="1" a="1"/>
  <c r="B24" i="1" a="1"/>
  <c r="B23" i="1" a="1"/>
  <c r="B22" i="1" a="1"/>
  <c r="B21" i="1" a="1"/>
  <c r="B20" i="1" a="1"/>
  <c r="B19" i="1" a="1"/>
  <c r="B18" i="1" a="1"/>
  <c r="B17" i="1" a="1"/>
  <c r="B16" i="1" a="1"/>
  <c r="B15" i="1" a="1"/>
  <c r="B14" i="1" a="1"/>
  <c r="B13" i="1" a="1"/>
  <c r="B12" i="1" a="1"/>
  <c r="B11" i="1" a="1"/>
  <c r="B10" i="1" a="1"/>
  <c r="B9" i="1" a="1"/>
  <c r="B8" i="1" a="1"/>
  <c r="B7" i="1" a="1"/>
  <c r="B6" i="1" a="1"/>
  <c r="B5" i="1" a="1"/>
  <c r="B4" i="1" a="1"/>
  <c r="B3" i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<sst xmlns="http://schemas.openxmlformats.org/spreadsheetml/2006/main" count="108" uniqueCount="98">
  <si>
    <t>formula</t>
  </si>
  <si>
    <t>result</t>
  </si>
  <si>
    <t>=BIN2DEC(1100100)</t>
  </si>
  <si>
    <t>=BIN2DEC("1111111111")</t>
  </si>
  <si>
    <t>=DEC2BIN(9,8)</t>
  </si>
  <si>
    <t>=DEC2BIN(-100)</t>
  </si>
  <si>
    <t>=DEC2HEX(255)</t>
  </si>
  <si>
    <t>=DEC2HEX(-1)</t>
  </si>
  <si>
    <t>=HEX2DEC("FFFFFFFFFF")</t>
  </si>
  <si>
    <t>=HEX2OCT("1F")</t>
  </si>
  <si>
    <t>=OCT2BIN("777")</t>
  </si>
  <si>
    <t>=DEC2OCT(58,3)</t>
  </si>
  <si>
    <t>=BIN2HEX("1110")</t>
  </si>
  <si>
    <t>=DEC2BIN(512)</t>
  </si>
  <si>
    <t>=BITAND(13,25)</t>
  </si>
  <si>
    <t>=BITOR(23,10)</t>
  </si>
  <si>
    <t>=BITXOR(5,3)</t>
  </si>
  <si>
    <t>=BITLSHIFT(4,2)</t>
  </si>
  <si>
    <t>=BITRSHIFT(13,2)</t>
  </si>
  <si>
    <t>=COMPLEX(3,4)</t>
  </si>
  <si>
    <t>=COMPLEX(0,-1)</t>
  </si>
  <si>
    <t>=COMPLEX(3,4,"j")</t>
  </si>
  <si>
    <t>=IMABS("3+4i")</t>
  </si>
  <si>
    <t>=IMREAL("6-9i")</t>
  </si>
  <si>
    <t>=IMAGINARY("i")</t>
  </si>
  <si>
    <t>=IMARGUMENT("3+4i")</t>
  </si>
  <si>
    <t>=IMCONJUGATE("3+4i")</t>
  </si>
  <si>
    <t>=IMSUM("3+4i","5-3i")</t>
  </si>
  <si>
    <t>=IMSUB("13+4i","5+3i")</t>
  </si>
  <si>
    <t>=IMPRODUCT("3+4i","5-3i")</t>
  </si>
  <si>
    <t>=IMDIV("-238+240i","10+24i")</t>
  </si>
  <si>
    <t>=IMPOWER("2+3i",3)</t>
  </si>
  <si>
    <t>=IMSQRT("1+i")</t>
  </si>
  <si>
    <t>=IMEXP("1+i")</t>
  </si>
  <si>
    <t>=IMLN("3+4i")</t>
  </si>
  <si>
    <t>=IMLOG10("3+4i")</t>
  </si>
  <si>
    <t>=IMLOG2("3+4i")</t>
  </si>
  <si>
    <t>=IMSIN("4+3i")</t>
  </si>
  <si>
    <t>=IMCOS("1+i")</t>
  </si>
  <si>
    <t>=IMTAN("4+3i")</t>
  </si>
  <si>
    <t>=IMSINH("4+3i")</t>
  </si>
  <si>
    <t>=IMCOSH("4+3i")</t>
  </si>
  <si>
    <t>=IMSEC("4+3i")</t>
  </si>
  <si>
    <t>=IMCSC("4+3i")</t>
  </si>
  <si>
    <t>=IMCOT("4+3i")</t>
  </si>
  <si>
    <t>=IMSECH("4+3i")</t>
  </si>
  <si>
    <t>=IMCSCH("4+3i")</t>
  </si>
  <si>
    <t>=BESSELJ(1.9,2)</t>
  </si>
  <si>
    <t>=BESSELI(1.5,1)</t>
  </si>
  <si>
    <t>=BESSELK(1.5,1)</t>
  </si>
  <si>
    <t>=BESSELY(2.5,1)</t>
  </si>
  <si>
    <t>=BESSELJ(10,0)</t>
  </si>
  <si>
    <t>=BESSELY(0.5,3)</t>
  </si>
  <si>
    <t>=ERF(0.745)</t>
  </si>
  <si>
    <t>=ERF(1,2)</t>
  </si>
  <si>
    <t>=ERFC(1)</t>
  </si>
  <si>
    <t>=ERF.PRECISE(0.5)</t>
  </si>
  <si>
    <t>=DELTA(5,4)</t>
  </si>
  <si>
    <t>=GESTEP(5,4)</t>
  </si>
  <si>
    <t>=CONVERT(1,"lbm","kg")</t>
  </si>
  <si>
    <t>=CONVERT(68,"F","C")</t>
  </si>
  <si>
    <t>=CONVERT(2.5,"ft","sec")</t>
  </si>
  <si>
    <t>=CONVERT(1,"mi","km")</t>
  </si>
  <si>
    <t>=CONVERT(100,"kg","ozm")</t>
  </si>
  <si>
    <t>=CONVERT(1,"gal","l")</t>
  </si>
  <si>
    <t>=CONVERT(1,"kibyte","bit")</t>
  </si>
  <si>
    <t>=CONVERT(1,"hr","mn")</t>
  </si>
  <si>
    <t>=CONVERT(100,"C","K")</t>
  </si>
  <si>
    <t>=CONVERT(1,"atm","mmHg")</t>
  </si>
  <si>
    <t>=CONVERT(1,"BTU","J")</t>
  </si>
  <si>
    <t>=CONVERT(1,"HP","W")</t>
  </si>
  <si>
    <t>=CONVERT(1,"m2","ft2")</t>
  </si>
  <si>
    <t>=CONVERT(1,"Nmi","m")</t>
  </si>
  <si>
    <t>=CONVERT(1,"cm3","in3")</t>
  </si>
  <si>
    <t>=CONVERT(1,"mph","m/s")</t>
  </si>
  <si>
    <t>apple</t>
  </si>
  <si>
    <t>one</t>
  </si>
  <si>
    <t>Name</t>
  </si>
  <si>
    <t>Region</t>
  </si>
  <si>
    <t>Sales</t>
  </si>
  <si>
    <t>abc</t>
  </si>
  <si>
    <t>Banana</t>
  </si>
  <si>
    <t>three</t>
  </si>
  <si>
    <t>East</t>
  </si>
  <si>
    <t>&gt;90</t>
  </si>
  <si>
    <t>West</t>
  </si>
  <si>
    <t>&gt;200</t>
  </si>
  <si>
    <t>cherry</t>
  </si>
  <si>
    <t>five</t>
  </si>
  <si>
    <t>pear</t>
  </si>
  <si>
    <t>seven</t>
  </si>
  <si>
    <t>fig</t>
  </si>
  <si>
    <t>date</t>
  </si>
  <si>
    <t>nine</t>
  </si>
  <si>
    <t>kiwi</t>
  </si>
  <si>
    <t>North</t>
  </si>
  <si>
    <t>plum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</si>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</sst>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tabSelected="1" workbookViewId="0"/>
  </sheetViews>
  <sheetFormatPr baseColWidth="10" defaultRowHeight="16" x14ac:dyDescent="0.2"/>
  <cols>
    <col min="1" max="1" width="48" customWidth="1"/>
    <col min="2" max="8" width="16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 cm="1">
        <f t="array" ref="B2">BIN2DEC(1100100)</f>
        <v>100</v>
      </c>
    </row>
    <row r="3" spans="1:2" ht="15" x14ac:dyDescent="0.2">
      <c r="A3" t="s">
        <v>3</v>
      </c>
      <c r="B3" cm="1">
        <f t="array" ref="B3">BIN2DEC("1111111111")</f>
        <v>-1</v>
      </c>
    </row>
    <row r="4" spans="1:2" ht="15" x14ac:dyDescent="0.2">
      <c r="A4" t="s">
        <v>4</v>
      </c>
      <c r="B4" t="str" cm="1">
        <f t="array" ref="B4">DEC2BIN(9,8)</f>
        <v>00001001</v>
      </c>
    </row>
    <row r="5" spans="1:2" ht="15" x14ac:dyDescent="0.2">
      <c r="A5" t="s">
        <v>5</v>
      </c>
      <c r="B5" t="str" cm="1">
        <f t="array" ref="B5">DEC2BIN(-100)</f>
        <v>1110011100</v>
      </c>
    </row>
    <row r="6" spans="1:2" ht="15" x14ac:dyDescent="0.2">
      <c r="A6" t="s">
        <v>6</v>
      </c>
      <c r="B6" t="str" cm="1">
        <f t="array" ref="B6">DEC2HEX(255)</f>
        <v>FF</v>
      </c>
    </row>
    <row r="7" spans="1:2" ht="15" x14ac:dyDescent="0.2">
      <c r="A7" t="s">
        <v>7</v>
      </c>
      <c r="B7" t="str" cm="1">
        <f t="array" ref="B7">DEC2HEX(-1)</f>
        <v>FFFFFFFFFF</v>
      </c>
    </row>
    <row r="8" spans="1:2" ht="15" x14ac:dyDescent="0.2">
      <c r="A8" t="s">
        <v>8</v>
      </c>
      <c r="B8" cm="1">
        <f t="array" ref="B8">HEX2DEC("FFFFFFFFFF")</f>
        <v>-1</v>
      </c>
    </row>
    <row r="9" spans="1:2" ht="15" x14ac:dyDescent="0.2">
      <c r="A9" t="s">
        <v>9</v>
      </c>
      <c r="B9" t="str" cm="1">
        <f t="array" ref="B9">HEX2OCT("1F")</f>
        <v>37</v>
      </c>
    </row>
    <row r="10" spans="1:2" ht="15" x14ac:dyDescent="0.2">
      <c r="A10" t="s">
        <v>10</v>
      </c>
      <c r="B10" t="str" cm="1">
        <f t="array" ref="B10">OCT2BIN("777")</f>
        <v>111111111</v>
      </c>
    </row>
    <row r="11" spans="1:2" ht="15" x14ac:dyDescent="0.2">
      <c r="A11" t="s">
        <v>11</v>
      </c>
      <c r="B11" t="str" cm="1">
        <f t="array" ref="B11">DEC2OCT(58,3)</f>
        <v>072</v>
      </c>
    </row>
    <row r="12" spans="1:2" ht="15" x14ac:dyDescent="0.2">
      <c r="A12" t="s">
        <v>12</v>
      </c>
      <c r="B12" t="str" cm="1">
        <f t="array" ref="B12">BIN2HEX("1110")</f>
        <v>E</v>
      </c>
    </row>
    <row r="13" spans="1:2" ht="15" x14ac:dyDescent="0.2">
      <c r="A13" t="s">
        <v>13</v>
      </c>
      <c r="B13" t="e" cm="1">
        <f t="array" ref="B13">DEC2BIN(512)</f>
        <v>#NUM!</v>
      </c>
    </row>
    <row r="14" spans="1:2" ht="15" x14ac:dyDescent="0.2">
      <c r="A14" t="s">
        <v>14</v>
      </c>
      <c r="B14" cm="1">
        <f t="array" ref="B14">_xlfn.BITAND(13,25)</f>
        <v>9</v>
      </c>
    </row>
    <row r="15" spans="1:2" ht="15" x14ac:dyDescent="0.2">
      <c r="A15" t="s">
        <v>15</v>
      </c>
      <c r="B15" cm="1">
        <f t="array" ref="B15">_xlfn.BITOR(23,10)</f>
        <v>31</v>
      </c>
    </row>
    <row r="16" spans="1:2" ht="15" x14ac:dyDescent="0.2">
      <c r="A16" t="s">
        <v>16</v>
      </c>
      <c r="B16" cm="1">
        <f t="array" ref="B16">_xlfn.BITXOR(5,3)</f>
        <v>6</v>
      </c>
    </row>
    <row r="17" spans="1:2" ht="15" x14ac:dyDescent="0.2">
      <c r="A17" t="s">
        <v>17</v>
      </c>
      <c r="B17" cm="1">
        <f t="array" ref="B17">_xlfn.BITLSHIFT(4,2)</f>
        <v>16</v>
      </c>
    </row>
    <row r="18" spans="1:2" ht="15" x14ac:dyDescent="0.2">
      <c r="A18" t="s">
        <v>18</v>
      </c>
      <c r="B18" cm="1">
        <f t="array" ref="B18">_xlfn.BITRSHIFT(13,2)</f>
        <v>3</v>
      </c>
    </row>
    <row r="19" spans="1:2" ht="15" x14ac:dyDescent="0.2">
      <c r="A19" t="s">
        <v>19</v>
      </c>
      <c r="B19" t="str" cm="1">
        <f t="array" ref="B19">COMPLEX(3,4)</f>
        <v>3+4i</v>
      </c>
    </row>
    <row r="20" spans="1:2" ht="15" x14ac:dyDescent="0.2">
      <c r="A20" t="s">
        <v>20</v>
      </c>
      <c r="B20" t="str" cm="1">
        <f t="array" ref="B20">COMPLEX(0,-1)</f>
        <v>-i</v>
      </c>
    </row>
    <row r="21" spans="1:2" ht="15" x14ac:dyDescent="0.2">
      <c r="A21" t="s">
        <v>21</v>
      </c>
      <c r="B21" t="str" cm="1">
        <f t="array" ref="B21">COMPLEX(3,4,"j")</f>
        <v>3+4j</v>
      </c>
    </row>
    <row r="22" spans="1:2" ht="15" x14ac:dyDescent="0.2">
      <c r="A22" t="s">
        <v>22</v>
      </c>
      <c r="B22" cm="1">
        <f t="array" ref="B22">IMABS("3+4i")</f>
        <v>5</v>
      </c>
    </row>
    <row r="23" spans="1:2" ht="15" x14ac:dyDescent="0.2">
      <c r="A23" t="s">
        <v>23</v>
      </c>
      <c r="B23" cm="1">
        <f t="array" ref="B23">IMREAL("6-9i")</f>
        <v>6</v>
      </c>
    </row>
    <row r="24" spans="1:2" ht="15" x14ac:dyDescent="0.2">
      <c r="A24" t="s">
        <v>24</v>
      </c>
      <c r="B24" cm="1">
        <f t="array" ref="B24">IMAGINARY("i")</f>
        <v>1</v>
      </c>
    </row>
    <row r="25" spans="1:2" ht="15" x14ac:dyDescent="0.2">
      <c r="A25" t="s">
        <v>25</v>
      </c>
      <c r="B25" cm="1">
        <f t="array" ref="B25">IMARGUMENT("3+4i")</f>
        <v>0.92729521800161219</v>
      </c>
    </row>
    <row r="26" spans="1:2" ht="15" x14ac:dyDescent="0.2">
      <c r="A26" t="s">
        <v>26</v>
      </c>
      <c r="B26" t="str" cm="1">
        <f t="array" ref="B26">IMCONJUGATE("3+4i")</f>
        <v>3-4i</v>
      </c>
    </row>
    <row r="27" spans="1:2" ht="15" x14ac:dyDescent="0.2">
      <c r="A27" t="s">
        <v>27</v>
      </c>
      <c r="B27" t="str" cm="1">
        <f t="array" ref="B27">IMSUM("3+4i","5-3i")</f>
        <v>8+i</v>
      </c>
    </row>
    <row r="28" spans="1:2" ht="15" x14ac:dyDescent="0.2">
      <c r="A28" t="s">
        <v>28</v>
      </c>
      <c r="B28" t="str" cm="1">
        <f t="array" ref="B28">IMSUB("13+4i","5+3i")</f>
        <v>8+i</v>
      </c>
    </row>
    <row r="29" spans="1:2" ht="15" x14ac:dyDescent="0.2">
      <c r="A29" t="s">
        <v>29</v>
      </c>
      <c r="B29" t="str" cm="1">
        <f t="array" ref="B29">IMPRODUCT("3+4i","5-3i")</f>
        <v>27+11i</v>
      </c>
    </row>
    <row r="30" spans="1:2" ht="15" x14ac:dyDescent="0.2">
      <c r="A30" t="s">
        <v>30</v>
      </c>
      <c r="B30" t="str" cm="1">
        <f t="array" ref="B30">IMDIV("-238+240i","10+24i")</f>
        <v>5+12i</v>
      </c>
    </row>
    <row r="31" spans="1:2" ht="15" x14ac:dyDescent="0.2">
      <c r="A31" t="s">
        <v>31</v>
      </c>
      <c r="B31" t="str" cm="1">
        <f t="array" ref="B31">IMPOWER("2+3i",3)</f>
        <v>-46+9.00000000000001i</v>
      </c>
    </row>
    <row r="32" spans="1:2" ht="15" x14ac:dyDescent="0.2">
      <c r="A32" t="s">
        <v>32</v>
      </c>
      <c r="B32" t="str" cm="1">
        <f t="array" ref="B32">IMSQRT("1+i")</f>
        <v>1.09868411346781+0.455089860562227i</v>
      </c>
    </row>
    <row r="33" spans="1:2" ht="15" x14ac:dyDescent="0.2">
      <c r="A33" t="s">
        <v>33</v>
      </c>
      <c r="B33" t="str" cm="1">
        <f t="array" ref="B33">IMEXP("1+i")</f>
        <v>1.46869393991589+2.28735528717884i</v>
      </c>
    </row>
    <row r="34" spans="1:2" ht="15" x14ac:dyDescent="0.2">
      <c r="A34" t="s">
        <v>34</v>
      </c>
      <c r="B34" t="str" cm="1">
        <f t="array" ref="B34">IMLN("3+4i")</f>
        <v>1.6094379124341+0.927295218001612i</v>
      </c>
    </row>
    <row r="35" spans="1:2" ht="15" x14ac:dyDescent="0.2">
      <c r="A35" t="s">
        <v>35</v>
      </c>
      <c r="B35" t="str" cm="1">
        <f t="array" ref="B35">IMLOG10("3+4i")</f>
        <v>0.698970004336019+0.402719196273373i</v>
      </c>
    </row>
    <row r="36" spans="1:2" ht="15" x14ac:dyDescent="0.2">
      <c r="A36" t="s">
        <v>36</v>
      </c>
      <c r="B36" t="str" cm="1">
        <f t="array" ref="B36">IMLOG2("3+4i")</f>
        <v>2.32192809488736+1.33780421245098i</v>
      </c>
    </row>
    <row r="37" spans="1:2" ht="15" x14ac:dyDescent="0.2">
      <c r="A37" t="s">
        <v>37</v>
      </c>
      <c r="B37" t="str" cm="1">
        <f t="array" ref="B37">IMSIN("4+3i")</f>
        <v>-7.61923172032141-6.548120040911i</v>
      </c>
    </row>
    <row r="38" spans="1:2" ht="15" x14ac:dyDescent="0.2">
      <c r="A38" t="s">
        <v>38</v>
      </c>
      <c r="B38" t="str" cm="1">
        <f t="array" ref="B38">IMCOS("1+i")</f>
        <v>0.833730025131149-0.988897705762865i</v>
      </c>
    </row>
    <row r="39" spans="1:2" ht="15" x14ac:dyDescent="0.2">
      <c r="A39" t="s">
        <v>39</v>
      </c>
      <c r="B39" t="str" cm="1">
        <f t="array" ref="B39">_xlfn.IMTAN("4+3i")</f>
        <v>0.00490825806749606+1.00070953606723i</v>
      </c>
    </row>
    <row r="40" spans="1:2" ht="15" x14ac:dyDescent="0.2">
      <c r="A40" t="s">
        <v>40</v>
      </c>
      <c r="B40" t="str" cm="1">
        <f t="array" ref="B40">_xlfn.IMSINH("4+3i")</f>
        <v>-27.0168132580039+3.85373803791938i</v>
      </c>
    </row>
    <row r="41" spans="1:2" ht="15" x14ac:dyDescent="0.2">
      <c r="A41" t="s">
        <v>41</v>
      </c>
      <c r="B41" t="str" cm="1">
        <f t="array" ref="B41">_xlfn.IMCOSH("4+3i")</f>
        <v>-27.0349456030742+3.85115333481178i</v>
      </c>
    </row>
    <row r="42" spans="1:2" ht="15" x14ac:dyDescent="0.2">
      <c r="A42" t="s">
        <v>42</v>
      </c>
      <c r="B42" t="str" cm="1">
        <f t="array" ref="B42">_xlfn.IMSEC("4+3i")</f>
        <v>-0.0652940278579471-0.0752249603027732i</v>
      </c>
    </row>
    <row r="43" spans="1:2" ht="15" x14ac:dyDescent="0.2">
      <c r="A43" t="s">
        <v>43</v>
      </c>
      <c r="B43" t="str" cm="1">
        <f t="array" ref="B43">_xlfn.IMCSC("4+3i")</f>
        <v>-0.0754898329158637+0.0648774713706355i</v>
      </c>
    </row>
    <row r="44" spans="1:2" ht="15" x14ac:dyDescent="0.2">
      <c r="A44" t="s">
        <v>44</v>
      </c>
      <c r="B44" t="str" cm="1">
        <f t="array" ref="B44">_xlfn.IMCOT("4+3i")</f>
        <v>0.00490118239430447-0.999266927805902i</v>
      </c>
    </row>
    <row r="45" spans="1:2" ht="15" x14ac:dyDescent="0.2">
      <c r="A45" t="s">
        <v>45</v>
      </c>
      <c r="B45" t="str" cm="1">
        <f t="array" ref="B45">_xlfn.IMSECH("4+3i")</f>
        <v>-0.0362534969158689-0.00516434460775318i</v>
      </c>
    </row>
    <row r="46" spans="1:2" ht="15" x14ac:dyDescent="0.2">
      <c r="A46" t="s">
        <v>46</v>
      </c>
      <c r="B46" t="str" cm="1">
        <f t="array" ref="B46">_xlfn.IMCSCH("4+3i")</f>
        <v>-0.036275889628626-0.0051744731840194i</v>
      </c>
    </row>
    <row r="47" spans="1:2" ht="15" x14ac:dyDescent="0.2">
      <c r="A47" t="s">
        <v>47</v>
      </c>
      <c r="B47" cm="1">
        <f t="array" ref="B47">BESSELJ(1.9,2)</f>
        <v>0.3299258286697852</v>
      </c>
    </row>
    <row r="48" spans="1:2" ht="15" x14ac:dyDescent="0.2">
      <c r="A48" t="s">
        <v>48</v>
      </c>
      <c r="B48" cm="1">
        <f t="array" ref="B48">BESSELI(1.5,1)</f>
        <v>0.98166642847516605</v>
      </c>
    </row>
    <row r="49" spans="1:2" ht="15" x14ac:dyDescent="0.2">
      <c r="A49" t="s">
        <v>49</v>
      </c>
      <c r="B49" cm="1">
        <f t="array" ref="B49">BESSELK(1.5,1)</f>
        <v>0.27738780363225868</v>
      </c>
    </row>
    <row r="50" spans="1:2" ht="15" x14ac:dyDescent="0.2">
      <c r="A50" t="s">
        <v>50</v>
      </c>
      <c r="B50" cm="1">
        <f t="array" ref="B50">BESSELY(2.5,1)</f>
        <v>0.14591813750831284</v>
      </c>
    </row>
    <row r="51" spans="1:2" ht="15" x14ac:dyDescent="0.2">
      <c r="A51" t="s">
        <v>51</v>
      </c>
      <c r="B51" cm="1">
        <f t="array" ref="B51">BESSELJ(10,0)</f>
        <v>-0.24593576444129961</v>
      </c>
    </row>
    <row r="52" spans="1:2" ht="15" x14ac:dyDescent="0.2">
      <c r="A52" t="s">
        <v>52</v>
      </c>
      <c r="B52" cm="1">
        <f t="array" ref="B52">BESSELY(0.5,3)</f>
        <v>-42.059494277784459</v>
      </c>
    </row>
    <row r="53" spans="1:2" ht="15" x14ac:dyDescent="0.2">
      <c r="A53" t="s">
        <v>53</v>
      </c>
      <c r="B53" cm="1">
        <f t="array" ref="B53">ERF(0.745)</f>
        <v>0.70792892009573771</v>
      </c>
    </row>
    <row r="54" spans="1:2" ht="15" x14ac:dyDescent="0.2">
      <c r="A54" t="s">
        <v>54</v>
      </c>
      <c r="B54" cm="1">
        <f t="array" ref="B54">ERF(1,2)</f>
        <v>0.15262147206923782</v>
      </c>
    </row>
    <row r="55" spans="1:2" ht="15" x14ac:dyDescent="0.2">
      <c r="A55" t="s">
        <v>55</v>
      </c>
      <c r="B55" cm="1">
        <f t="array" ref="B55">ERFC(1)</f>
        <v>0.15729920705028513</v>
      </c>
    </row>
    <row r="56" spans="1:2" ht="15" x14ac:dyDescent="0.2">
      <c r="A56" t="s">
        <v>56</v>
      </c>
      <c r="B56" cm="1">
        <f t="array" ref="B56">_xlfn.ERF.PRECISE(0.5)</f>
        <v>0.52049987781304652</v>
      </c>
    </row>
    <row r="57" spans="1:2" ht="15" x14ac:dyDescent="0.2">
      <c r="A57" t="s">
        <v>57</v>
      </c>
      <c r="B57" cm="1">
        <f t="array" ref="B57">DELTA(5,4)</f>
        <v>0</v>
      </c>
    </row>
    <row r="58" spans="1:2" ht="15" x14ac:dyDescent="0.2">
      <c r="A58" t="s">
        <v>58</v>
      </c>
      <c r="B58" cm="1">
        <f t="array" ref="B58">GESTEP(5,4)</f>
        <v>1</v>
      </c>
    </row>
    <row r="59" spans="1:2" ht="15" x14ac:dyDescent="0.2">
      <c r="A59" t="s">
        <v>59</v>
      </c>
      <c r="B59" cm="1">
        <f t="array" ref="B59">CONVERT(1,"lbm","kg")</f>
        <v>0.45359237000000002</v>
      </c>
    </row>
    <row r="60" spans="1:2" ht="15" x14ac:dyDescent="0.2">
      <c r="A60" t="s">
        <v>60</v>
      </c>
      <c r="B60" cm="1">
        <f t="array" ref="B60">CONVERT(68,"F","C")</f>
        <v>20</v>
      </c>
    </row>
    <row r="61" spans="1:2" ht="15" x14ac:dyDescent="0.2">
      <c r="A61" t="s">
        <v>61</v>
      </c>
      <c r="B61" t="e" cm="1">
        <f t="array" ref="B61">CONVERT(2.5,"ft","sec")</f>
        <v>#N/A</v>
      </c>
    </row>
    <row r="62" spans="1:2" ht="15" x14ac:dyDescent="0.2">
      <c r="A62" t="s">
        <v>62</v>
      </c>
      <c r="B62" cm="1">
        <f t="array" ref="B62">CONVERT(1,"mi","km")</f>
        <v>1.6093440000000001</v>
      </c>
    </row>
    <row r="63" spans="1:2" ht="15" x14ac:dyDescent="0.2">
      <c r="A63" t="s">
        <v>63</v>
      </c>
      <c r="B63" cm="1">
        <f t="array" ref="B63">CONVERT(100,"kg","ozm")</f>
        <v>3527.3961949580412</v>
      </c>
    </row>
    <row r="64" spans="1:2" ht="15" x14ac:dyDescent="0.2">
      <c r="A64" t="s">
        <v>64</v>
      </c>
      <c r="B64" cm="1">
        <f t="array" ref="B64">CONVERT(1,"gal","l")</f>
        <v>3.7854117839999999</v>
      </c>
    </row>
    <row r="65" spans="1:2" ht="15" x14ac:dyDescent="0.2">
      <c r="A65" t="s">
        <v>65</v>
      </c>
      <c r="B65" cm="1">
        <f t="array" ref="B65">CONVERT(1,"kibyte","bit")</f>
        <v>8192</v>
      </c>
    </row>
    <row r="66" spans="1:2" ht="15" x14ac:dyDescent="0.2">
      <c r="A66" t="s">
        <v>66</v>
      </c>
      <c r="B66" cm="1">
        <f t="array" ref="B66">CONVERT(1,"hr","mn")</f>
        <v>60</v>
      </c>
    </row>
    <row r="67" spans="1:2" ht="15" x14ac:dyDescent="0.2">
      <c r="A67" t="s">
        <v>67</v>
      </c>
      <c r="B67" cm="1">
        <f t="array" ref="B67">CONVERT(100,"C","K")</f>
        <v>373.15</v>
      </c>
    </row>
    <row r="68" spans="1:2" ht="15" x14ac:dyDescent="0.2">
      <c r="A68" t="s">
        <v>68</v>
      </c>
      <c r="B68" cm="1">
        <f t="array" ref="B68">CONVERT(1,"atm","mmHg")</f>
        <v>760.00210017851521</v>
      </c>
    </row>
    <row r="69" spans="1:2" ht="15" x14ac:dyDescent="0.2">
      <c r="A69" t="s">
        <v>69</v>
      </c>
      <c r="B69" cm="1">
        <f t="array" ref="B69">CONVERT(1,"BTU","J")</f>
        <v>1055.05585262</v>
      </c>
    </row>
    <row r="70" spans="1:2" ht="15" x14ac:dyDescent="0.2">
      <c r="A70" t="s">
        <v>70</v>
      </c>
      <c r="B70" cm="1">
        <f t="array" ref="B70">CONVERT(1,"HP","W")</f>
        <v>745.69987158227025</v>
      </c>
    </row>
    <row r="71" spans="1:2" ht="15" x14ac:dyDescent="0.2">
      <c r="A71" t="s">
        <v>71</v>
      </c>
      <c r="B71" cm="1">
        <f t="array" ref="B71">CONVERT(1,"m2","ft2")</f>
        <v>10.763910416709722</v>
      </c>
    </row>
    <row r="72" spans="1:2" ht="15" x14ac:dyDescent="0.2">
      <c r="A72" t="s">
        <v>72</v>
      </c>
      <c r="B72" cm="1">
        <f t="array" ref="B72">CONVERT(1,"Nmi","m")</f>
        <v>1852</v>
      </c>
    </row>
    <row r="73" spans="1:2" ht="15" x14ac:dyDescent="0.2">
      <c r="A73" t="s">
        <v>73</v>
      </c>
      <c r="B73" cm="1">
        <f t="array" ref="B73">CONVERT(1,"cm3","in3")</f>
        <v>6.1023744094732282E-2</v>
      </c>
    </row>
    <row r="74" spans="1:2" ht="15" x14ac:dyDescent="0.2">
      <c r="A74" t="s">
        <v>74</v>
      </c>
      <c r="B74" cm="1">
        <f t="array" ref="B74">CONVERT(1,"mph","m/s")</f>
        <v>0.44703999999999999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"/>
  <sheetViews>
    <sheetView workbookViewId="0"/>
  </sheetViews>
  <sheetFormatPr baseColWidth="10" defaultRowHeight="16" x14ac:dyDescent="0.2"/>
  <sheetData>
    <row r="1" spans="1:17" ht="15" x14ac:dyDescent="0.2">
      <c r="A1">
        <v>1</v>
      </c>
      <c r="B1">
        <v>5</v>
      </c>
      <c r="C1" t="s">
        <v>75</v>
      </c>
      <c r="D1">
        <v>10</v>
      </c>
      <c r="E1">
        <v>1</v>
      </c>
      <c r="F1" t="s">
        <v>76</v>
      </c>
      <c r="G1">
        <v>59</v>
      </c>
      <c r="H1">
        <v>2.5</v>
      </c>
      <c r="I1" t="s">
        <v>77</v>
      </c>
      <c r="J1" t="s">
        <v>78</v>
      </c>
      <c r="K1" t="s">
        <v>79</v>
      </c>
      <c r="L1" t="s">
        <v>78</v>
      </c>
      <c r="M1" t="s">
        <v>79</v>
      </c>
      <c r="N1" t="s">
        <v>78</v>
      </c>
      <c r="O1" t="s">
        <v>79</v>
      </c>
      <c r="P1">
        <v>5</v>
      </c>
      <c r="Q1">
        <v>2</v>
      </c>
    </row>
    <row r="2" spans="1:17" ht="15" x14ac:dyDescent="0.2">
      <c r="A2">
        <v>2</v>
      </c>
      <c r="B2" t="s">
        <v>80</v>
      </c>
      <c r="C2" t="s">
        <v>81</v>
      </c>
      <c r="D2">
        <v>20</v>
      </c>
      <c r="E2">
        <v>3</v>
      </c>
      <c r="F2" t="s">
        <v>82</v>
      </c>
      <c r="G2">
        <v>61</v>
      </c>
      <c r="H2">
        <v>3.1</v>
      </c>
      <c r="I2" t="s">
        <v>75</v>
      </c>
      <c r="J2" t="s">
        <v>83</v>
      </c>
      <c r="K2">
        <v>100</v>
      </c>
      <c r="L2" t="s">
        <v>83</v>
      </c>
      <c r="M2" t="s">
        <v>84</v>
      </c>
      <c r="N2" t="s">
        <v>85</v>
      </c>
      <c r="O2" t="s">
        <v>86</v>
      </c>
      <c r="P2">
        <v>3</v>
      </c>
      <c r="Q2">
        <v>7</v>
      </c>
    </row>
    <row r="3" spans="1:17" ht="15" x14ac:dyDescent="0.2">
      <c r="A3">
        <v>3</v>
      </c>
      <c r="B3" t="b">
        <v>1</v>
      </c>
      <c r="C3" t="s">
        <v>87</v>
      </c>
      <c r="D3">
        <v>30</v>
      </c>
      <c r="E3">
        <v>5</v>
      </c>
      <c r="F3" t="s">
        <v>88</v>
      </c>
      <c r="G3">
        <v>45351</v>
      </c>
      <c r="H3">
        <v>4.7</v>
      </c>
      <c r="I3" t="s">
        <v>89</v>
      </c>
      <c r="J3" t="s">
        <v>85</v>
      </c>
      <c r="K3">
        <v>250</v>
      </c>
      <c r="P3">
        <v>8</v>
      </c>
      <c r="Q3">
        <v>1</v>
      </c>
    </row>
    <row r="4" spans="1:17" ht="15" x14ac:dyDescent="0.2">
      <c r="A4">
        <v>4</v>
      </c>
      <c r="C4" t="s">
        <v>75</v>
      </c>
      <c r="D4">
        <v>40</v>
      </c>
      <c r="E4">
        <v>7</v>
      </c>
      <c r="F4" t="s">
        <v>90</v>
      </c>
      <c r="G4">
        <v>45657</v>
      </c>
      <c r="H4">
        <v>1.2</v>
      </c>
      <c r="I4" t="s">
        <v>91</v>
      </c>
      <c r="J4" t="s">
        <v>83</v>
      </c>
      <c r="K4">
        <v>75</v>
      </c>
      <c r="P4">
        <v>1</v>
      </c>
      <c r="Q4">
        <v>8</v>
      </c>
    </row>
    <row r="5" spans="1:17" ht="15" x14ac:dyDescent="0.2">
      <c r="A5">
        <v>5</v>
      </c>
      <c r="B5" t="e">
        <f>NA()</f>
        <v>#N/A</v>
      </c>
      <c r="C5" t="s">
        <v>92</v>
      </c>
      <c r="D5">
        <v>50</v>
      </c>
      <c r="E5">
        <v>9</v>
      </c>
      <c r="F5" t="s">
        <v>93</v>
      </c>
      <c r="H5">
        <v>9.9</v>
      </c>
      <c r="I5" t="s">
        <v>94</v>
      </c>
      <c r="J5" t="s">
        <v>95</v>
      </c>
      <c r="K5">
        <v>300</v>
      </c>
      <c r="P5">
        <v>9</v>
      </c>
      <c r="Q5">
        <v>2</v>
      </c>
    </row>
    <row r="6" spans="1:17" ht="15" x14ac:dyDescent="0.2">
      <c r="A6">
        <v>6</v>
      </c>
      <c r="B6">
        <v>45000</v>
      </c>
      <c r="H6">
        <v>3.3</v>
      </c>
      <c r="I6" t="s">
        <v>96</v>
      </c>
      <c r="J6" t="s">
        <v>85</v>
      </c>
      <c r="K6">
        <v>125</v>
      </c>
      <c r="P6">
        <v>2</v>
      </c>
      <c r="Q6">
        <v>8</v>
      </c>
    </row>
    <row r="7" spans="1:17" ht="15" x14ac:dyDescent="0.2">
      <c r="A7">
        <v>7</v>
      </c>
      <c r="B7" t="s">
        <v>97</v>
      </c>
      <c r="H7">
        <v>7.4</v>
      </c>
      <c r="P7">
        <v>7</v>
      </c>
      <c r="Q7">
        <v>1</v>
      </c>
    </row>
    <row r="8" spans="1:17" ht="15" x14ac:dyDescent="0.2">
      <c r="A8">
        <v>8</v>
      </c>
      <c r="B8">
        <v>0</v>
      </c>
      <c r="H8">
        <v>5.5</v>
      </c>
      <c r="P8">
        <v>4</v>
      </c>
      <c r="Q8">
        <v>8</v>
      </c>
    </row>
    <row r="9" spans="1:17" ht="15" x14ac:dyDescent="0.2">
      <c r="A9">
        <v>9</v>
      </c>
      <c r="B9">
        <v>-3.5</v>
      </c>
    </row>
    <row r="10" spans="1:17" ht="15" x14ac:dyDescent="0.2">
      <c r="A10">
        <v>10</v>
      </c>
      <c r="B10" t="str">
        <f>""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2026-11-01T02:29:24Z</dcterms:created>
  <dcterms:modified xsi:type="dcterms:W3CDTF">2026-11-01T02:29:24Z</dcterms:modified>
</cp:coreProperties>
</file>