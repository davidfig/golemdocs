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16591-1793485835374/"/>
    </mc:Choice>
  </mc:AlternateContent>
  <xr:revisionPtr revIDLastSave="0" documentId="8_{56875AFB-ECDC-184C-9B1B-4E3AAB72E636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<sst xmlns="http://schemas.openxmlformats.org/spreadsheetml/2006/main" count="28" uniqueCount="27">
  <si>
    <t>formula</t>
  </si>
  <si>
    <t>result</t>
  </si>
  <si>
    <t>=PMT(0.05/12,360,200000)</t>
  </si>
  <si>
    <t>=FV(0.04,10,-1000)</t>
  </si>
  <si>
    <t>=PV(0.06,5,0,-1000)</t>
  </si>
  <si>
    <t>=NPER(0.01,-100,1000)</t>
  </si>
  <si>
    <t>=RATE(36,-300,9000)</t>
  </si>
  <si>
    <t>=NPV(0.1,-1000,300,400,500)</t>
  </si>
  <si>
    <t>=IRR({-1000,300,400,500})</t>
  </si>
  <si>
    <t>=XNPV(0.1,{-1000,500,700},{45000,45200,45400})</t>
  </si>
  <si>
    <t>=XIRR({-1000,500,700},{45000,45200,45400})</t>
  </si>
  <si>
    <t>=IPMT(0.05/12,1,360,200000)</t>
  </si>
  <si>
    <t>=CUMIPMT(0.05/12,360,200000,1,12,0)</t>
  </si>
  <si>
    <t>=SLN(10000,1000,5)</t>
  </si>
  <si>
    <t>=DDB(10000,1000,5,2)</t>
  </si>
  <si>
    <t>=EFFECT(0.05,12)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</si>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</sst>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cm="1">
        <f t="array" ref="B2">PMT(0.05/12,360,200000)</f>
        <v>-1073.6432460242781</v>
      </c>
    </row>
    <row r="3" spans="1:2" ht="15" x14ac:dyDescent="0.2">
      <c r="A3" t="s">
        <v>3</v>
      </c>
      <c r="B3" cm="1">
        <f t="array" ref="B3">FV(0.04,10,-1000)</f>
        <v>12006.107122958614</v>
      </c>
    </row>
    <row r="4" spans="1:2" ht="15" x14ac:dyDescent="0.2">
      <c r="A4" t="s">
        <v>4</v>
      </c>
      <c r="B4" cm="1">
        <f t="array" ref="B4">PV(0.06,5,0,-1000)</f>
        <v>747.25817286605684</v>
      </c>
    </row>
    <row r="5" spans="1:2" ht="15" x14ac:dyDescent="0.2">
      <c r="A5" t="s">
        <v>5</v>
      </c>
      <c r="B5" cm="1">
        <f t="array" ref="B5">NPER(0.01,-100,1000)</f>
        <v>10.588644459423231</v>
      </c>
    </row>
    <row r="6" spans="1:2" ht="15" x14ac:dyDescent="0.2">
      <c r="A6" t="s">
        <v>6</v>
      </c>
      <c r="B6" cm="1">
        <f t="array" ref="B6">RATE(36,-300,9000)</f>
        <v>1.0207449002723698E-2</v>
      </c>
    </row>
    <row r="7" spans="1:2" ht="15" x14ac:dyDescent="0.2">
      <c r="A7" t="s">
        <v>7</v>
      </c>
      <c r="B7" cm="1">
        <f t="array" ref="B7">NPV(0.1,-1000,300,400,500)</f>
        <v>-19.12437675022209</v>
      </c>
    </row>
    <row r="8" spans="1:2" ht="15" x14ac:dyDescent="0.2">
      <c r="A8" t="s">
        <v>8</v>
      </c>
      <c r="B8" cm="1">
        <f t="array" ref="B8">IRR({-1000,300,400,500})</f>
        <v>8.8963394693349906E-2</v>
      </c>
    </row>
    <row r="9" spans="1:2" ht="15" x14ac:dyDescent="0.2">
      <c r="A9" t="s">
        <v>9</v>
      </c>
      <c r="B9" cm="1">
        <f t="array" ref="B9">XNPV(0.1,{-1000,500,700},{45000,45200,45400})</f>
        <v>105.1319554418767</v>
      </c>
    </row>
    <row r="10" spans="1:2" ht="15" x14ac:dyDescent="0.2">
      <c r="A10" t="s">
        <v>10</v>
      </c>
      <c r="B10" cm="1">
        <f t="array" ref="B10">XIRR({-1000,500,700},{45000,45200,45400})</f>
        <v>0.23621210455894467</v>
      </c>
    </row>
    <row r="11" spans="1:2" ht="15" x14ac:dyDescent="0.2">
      <c r="A11" t="s">
        <v>11</v>
      </c>
      <c r="B11" cm="1">
        <f t="array" ref="B11">IPMT(0.05/12,1,360,200000)</f>
        <v>-833.33333333333337</v>
      </c>
    </row>
    <row r="12" spans="1:2" ht="15" x14ac:dyDescent="0.2">
      <c r="A12" t="s">
        <v>12</v>
      </c>
      <c r="B12" cm="1">
        <f t="array" ref="B12">CUMIPMT(0.05/12,360,200000,1,12,0)</f>
        <v>-9932.9882611563771</v>
      </c>
    </row>
    <row r="13" spans="1:2" ht="15" x14ac:dyDescent="0.2">
      <c r="A13" t="s">
        <v>13</v>
      </c>
      <c r="B13" cm="1">
        <f t="array" ref="B13">SLN(10000,1000,5)</f>
        <v>1800</v>
      </c>
    </row>
    <row r="14" spans="1:2" ht="15" x14ac:dyDescent="0.2">
      <c r="A14" t="s">
        <v>14</v>
      </c>
      <c r="B14" cm="1">
        <f t="array" ref="B14">DDB(10000,1000,5,2)</f>
        <v>2400</v>
      </c>
    </row>
    <row r="15" spans="1:2" ht="15" x14ac:dyDescent="0.2">
      <c r="A15" t="s">
        <v>15</v>
      </c>
      <c r="B15" cm="1">
        <f t="array" ref="B15">EFFECT(0.05,12)</f>
        <v>5.116189788173342E-2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16</v>
      </c>
      <c r="D1">
        <v>10</v>
      </c>
      <c r="E1">
        <v>1</v>
      </c>
      <c r="F1" t="s">
        <v>17</v>
      </c>
      <c r="G1">
        <v>59</v>
      </c>
      <c r="H1">
        <v>2.5</v>
      </c>
    </row>
    <row r="2" spans="1:8" ht="15" x14ac:dyDescent="0.2">
      <c r="A2">
        <v>2</v>
      </c>
      <c r="B2" t="s">
        <v>18</v>
      </c>
      <c r="C2" t="s">
        <v>19</v>
      </c>
      <c r="D2">
        <v>20</v>
      </c>
      <c r="E2">
        <v>3</v>
      </c>
      <c r="F2" t="s">
        <v>20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21</v>
      </c>
      <c r="D3">
        <v>30</v>
      </c>
      <c r="E3">
        <v>5</v>
      </c>
      <c r="F3" t="s">
        <v>22</v>
      </c>
      <c r="G3">
        <v>45351</v>
      </c>
      <c r="H3">
        <v>4.7</v>
      </c>
    </row>
    <row r="4" spans="1:8" ht="15" x14ac:dyDescent="0.2">
      <c r="A4">
        <v>4</v>
      </c>
      <c r="C4" t="s">
        <v>16</v>
      </c>
      <c r="D4">
        <v>40</v>
      </c>
      <c r="E4">
        <v>7</v>
      </c>
      <c r="F4" t="s">
        <v>23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24</v>
      </c>
      <c r="D5">
        <v>50</v>
      </c>
      <c r="E5">
        <v>9</v>
      </c>
      <c r="F5" t="s">
        <v>25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26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2026-10-31T22:30:42Z</dcterms:created>
  <dcterms:modified xsi:type="dcterms:W3CDTF">2026-10-31T22:30:42Z</dcterms:modified>
</cp:coreProperties>
</file>