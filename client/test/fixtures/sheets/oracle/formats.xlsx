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43952-1793488742274/"/>
    </mc:Choice>
  </mc:AlternateContent>
  <xr:revisionPtr revIDLastSave="0" documentId="8_{00FD1369-47A9-1542-BBC0-C2F90A40D598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799" i="1" a="1"/>
  <c r="B798" i="1" a="1"/>
  <c r="B797" i="1" a="1"/>
  <c r="B796" i="1" a="1"/>
  <c r="B795" i="1" a="1"/>
  <c r="B794" i="1" a="1"/>
  <c r="B793" i="1" a="1"/>
  <c r="B792" i="1" a="1"/>
  <c r="B791" i="1" a="1"/>
  <c r="B790" i="1" a="1"/>
  <c r="B789" i="1" a="1"/>
  <c r="B788" i="1" a="1"/>
  <c r="B787" i="1" a="1"/>
  <c r="B786" i="1" a="1"/>
  <c r="B785" i="1" a="1"/>
  <c r="B784" i="1" a="1"/>
  <c r="B783" i="1" a="1"/>
  <c r="B782" i="1" a="1"/>
  <c r="B781" i="1" a="1"/>
  <c r="B780" i="1" a="1"/>
  <c r="B779" i="1" a="1"/>
  <c r="B778" i="1" a="1"/>
  <c r="B777" i="1" a="1"/>
  <c r="B776" i="1" a="1"/>
  <c r="B775" i="1" a="1"/>
  <c r="B774" i="1" a="1"/>
  <c r="B773" i="1" a="1"/>
  <c r="B772" i="1" a="1"/>
  <c r="B771" i="1" a="1"/>
  <c r="B770" i="1" a="1"/>
  <c r="B769" i="1" a="1"/>
  <c r="B768" i="1" a="1"/>
  <c r="B767" i="1" a="1"/>
  <c r="B766" i="1" a="1"/>
  <c r="B765" i="1" a="1"/>
  <c r="B764" i="1" a="1"/>
  <c r="B763" i="1" a="1"/>
  <c r="B762" i="1" a="1"/>
  <c r="B761" i="1" a="1"/>
  <c r="B760" i="1" a="1"/>
  <c r="B759" i="1" a="1"/>
  <c r="B758" i="1" a="1"/>
  <c r="B757" i="1" a="1"/>
  <c r="B756" i="1" a="1"/>
  <c r="B755" i="1" a="1"/>
  <c r="B754" i="1" a="1"/>
  <c r="B753" i="1" a="1"/>
  <c r="B752" i="1" a="1"/>
  <c r="B751" i="1" a="1"/>
  <c r="B750" i="1" a="1"/>
  <c r="B749" i="1" a="1"/>
  <c r="B748" i="1" a="1"/>
  <c r="B747" i="1" a="1"/>
  <c r="B746" i="1" a="1"/>
  <c r="B745" i="1" a="1"/>
  <c r="B744" i="1" a="1"/>
  <c r="B743" i="1" a="1"/>
  <c r="B742" i="1" a="1"/>
  <c r="B741" i="1" a="1"/>
  <c r="B740" i="1" a="1"/>
  <c r="B739" i="1" a="1"/>
  <c r="B738" i="1" a="1"/>
  <c r="B737" i="1" a="1"/>
  <c r="B736" i="1" a="1"/>
  <c r="B735" i="1" a="1"/>
  <c r="B734" i="1" a="1"/>
  <c r="B733" i="1" a="1"/>
  <c r="B732" i="1" a="1"/>
  <c r="B731" i="1" a="1"/>
  <c r="B730" i="1" a="1"/>
  <c r="B729" i="1" a="1"/>
  <c r="B728" i="1" a="1"/>
  <c r="B727" i="1" a="1"/>
  <c r="B726" i="1" a="1"/>
  <c r="B725" i="1" a="1"/>
  <c r="B724" i="1" a="1"/>
  <c r="B723" i="1" a="1"/>
  <c r="B722" i="1" a="1"/>
  <c r="B721" i="1" a="1"/>
  <c r="B720" i="1" a="1"/>
  <c r="B719" i="1" a="1"/>
  <c r="B718" i="1" a="1"/>
  <c r="B717" i="1" a="1"/>
  <c r="B716" i="1" a="1"/>
  <c r="B715" i="1" a="1"/>
  <c r="B714" i="1" a="1"/>
  <c r="B713" i="1" a="1"/>
  <c r="B712" i="1" a="1"/>
  <c r="B711" i="1" a="1"/>
  <c r="B710" i="1" a="1"/>
  <c r="B709" i="1" a="1"/>
  <c r="B708" i="1" a="1"/>
  <c r="B707" i="1" a="1"/>
  <c r="B706" i="1" a="1"/>
  <c r="B705" i="1" a="1"/>
  <c r="B704" i="1" a="1"/>
  <c r="B703" i="1" a="1"/>
  <c r="B702" i="1" a="1"/>
  <c r="B701" i="1" a="1"/>
  <c r="B700" i="1" a="1"/>
  <c r="B699" i="1" a="1"/>
  <c r="B698" i="1" a="1"/>
  <c r="B697" i="1" a="1"/>
  <c r="B696" i="1" a="1"/>
  <c r="B695" i="1" a="1"/>
  <c r="B694" i="1" a="1"/>
  <c r="B693" i="1" a="1"/>
  <c r="B692" i="1" a="1"/>
  <c r="B691" i="1" a="1"/>
  <c r="B690" i="1" a="1"/>
  <c r="B689" i="1" a="1"/>
  <c r="B688" i="1" a="1"/>
  <c r="B687" i="1" a="1"/>
  <c r="B686" i="1" a="1"/>
  <c r="B685" i="1" a="1"/>
  <c r="B684" i="1" a="1"/>
  <c r="B683" i="1" a="1"/>
  <c r="B682" i="1" a="1"/>
  <c r="B681" i="1" a="1"/>
  <c r="B680" i="1" a="1"/>
  <c r="B679" i="1" a="1"/>
  <c r="B678" i="1" a="1"/>
  <c r="B677" i="1" a="1"/>
  <c r="B676" i="1" a="1"/>
  <c r="B675" i="1" a="1"/>
  <c r="B674" i="1" a="1"/>
  <c r="B673" i="1" a="1"/>
  <c r="B672" i="1" a="1"/>
  <c r="B671" i="1" a="1"/>
  <c r="B670" i="1" a="1"/>
  <c r="B669" i="1" a="1"/>
  <c r="B668" i="1" a="1"/>
  <c r="B667" i="1" a="1"/>
  <c r="B666" i="1" a="1"/>
  <c r="B665" i="1" a="1"/>
  <c r="B664" i="1" a="1"/>
  <c r="B663" i="1" a="1"/>
  <c r="B662" i="1" a="1"/>
  <c r="B661" i="1" a="1"/>
  <c r="B660" i="1" a="1"/>
  <c r="B659" i="1" a="1"/>
  <c r="B658" i="1" a="1"/>
  <c r="B657" i="1" a="1"/>
  <c r="B656" i="1" a="1"/>
  <c r="B655" i="1" a="1"/>
  <c r="B654" i="1" a="1"/>
  <c r="B653" i="1" a="1"/>
  <c r="B652" i="1" a="1"/>
  <c r="B651" i="1" a="1"/>
  <c r="B650" i="1" a="1"/>
  <c r="B649" i="1" a="1"/>
  <c r="B648" i="1" a="1"/>
  <c r="B647" i="1" a="1"/>
  <c r="B646" i="1" a="1"/>
  <c r="B645" i="1" a="1"/>
  <c r="B644" i="1" a="1"/>
  <c r="B643" i="1" a="1"/>
  <c r="B642" i="1" a="1"/>
  <c r="B641" i="1" a="1"/>
  <c r="B640" i="1" a="1"/>
  <c r="B639" i="1" a="1"/>
  <c r="B638" i="1" a="1"/>
  <c r="B637" i="1" a="1"/>
  <c r="B636" i="1" a="1"/>
  <c r="B635" i="1" a="1"/>
  <c r="B634" i="1" a="1"/>
  <c r="B633" i="1" a="1"/>
  <c r="B632" i="1" a="1"/>
  <c r="B631" i="1" a="1"/>
  <c r="B630" i="1" a="1"/>
  <c r="B629" i="1" a="1"/>
  <c r="B628" i="1" a="1"/>
  <c r="B627" i="1" a="1"/>
  <c r="B626" i="1" a="1"/>
  <c r="B625" i="1" a="1"/>
  <c r="B624" i="1" a="1"/>
  <c r="B623" i="1" a="1"/>
  <c r="B622" i="1" a="1"/>
  <c r="B621" i="1" a="1"/>
  <c r="B620" i="1" a="1"/>
  <c r="B619" i="1" a="1"/>
  <c r="B618" i="1" a="1"/>
  <c r="B617" i="1" a="1"/>
  <c r="B616" i="1" a="1"/>
  <c r="B615" i="1" a="1"/>
  <c r="B614" i="1" a="1"/>
  <c r="B613" i="1" a="1"/>
  <c r="B612" i="1" a="1"/>
  <c r="B611" i="1" a="1"/>
  <c r="B610" i="1" a="1"/>
  <c r="B609" i="1" a="1"/>
  <c r="B608" i="1" a="1"/>
  <c r="B607" i="1" a="1"/>
  <c r="B606" i="1" a="1"/>
  <c r="B605" i="1" a="1"/>
  <c r="B604" i="1" a="1"/>
  <c r="B603" i="1" a="1"/>
  <c r="B602" i="1" a="1"/>
  <c r="B601" i="1" a="1"/>
  <c r="B600" i="1" a="1"/>
  <c r="B599" i="1" a="1"/>
  <c r="B598" i="1" a="1"/>
  <c r="B597" i="1" a="1"/>
  <c r="B596" i="1" a="1"/>
  <c r="B595" i="1" a="1"/>
  <c r="B594" i="1" a="1"/>
  <c r="B593" i="1" a="1"/>
  <c r="B592" i="1" a="1"/>
  <c r="B591" i="1" a="1"/>
  <c r="B590" i="1" a="1"/>
  <c r="B589" i="1" a="1"/>
  <c r="B588" i="1" a="1"/>
  <c r="B587" i="1" a="1"/>
  <c r="B586" i="1" a="1"/>
  <c r="B585" i="1" a="1"/>
  <c r="B584" i="1" a="1"/>
  <c r="B583" i="1" a="1"/>
  <c r="B582" i="1" a="1"/>
  <c r="B581" i="1" a="1"/>
  <c r="B580" i="1" a="1"/>
  <c r="B579" i="1" a="1"/>
  <c r="B578" i="1" a="1"/>
  <c r="B577" i="1" a="1"/>
  <c r="B576" i="1" a="1"/>
  <c r="B575" i="1" a="1"/>
  <c r="B574" i="1" a="1"/>
  <c r="B573" i="1" a="1"/>
  <c r="B572" i="1" a="1"/>
  <c r="B571" i="1" a="1"/>
  <c r="B570" i="1" a="1"/>
  <c r="B569" i="1" a="1"/>
  <c r="B568" i="1" a="1"/>
  <c r="B567" i="1" a="1"/>
  <c r="B566" i="1" a="1"/>
  <c r="B565" i="1" a="1"/>
  <c r="B564" i="1" a="1"/>
  <c r="B563" i="1" a="1"/>
  <c r="B562" i="1" a="1"/>
  <c r="B561" i="1" a="1"/>
  <c r="B560" i="1" a="1"/>
  <c r="B559" i="1" a="1"/>
  <c r="B558" i="1" a="1"/>
  <c r="B557" i="1" a="1"/>
  <c r="B556" i="1" a="1"/>
  <c r="B555" i="1" a="1"/>
  <c r="B554" i="1" a="1"/>
  <c r="B553" i="1" a="1"/>
  <c r="B552" i="1" a="1"/>
  <c r="B551" i="1" a="1"/>
  <c r="B550" i="1" a="1"/>
  <c r="B549" i="1" a="1"/>
  <c r="B548" i="1" a="1"/>
  <c r="B547" i="1" a="1"/>
  <c r="B546" i="1" a="1"/>
  <c r="B545" i="1" a="1"/>
  <c r="B544" i="1" a="1"/>
  <c r="B543" i="1" a="1"/>
  <c r="B542" i="1" a="1"/>
  <c r="B541" i="1" a="1"/>
  <c r="B540" i="1" a="1"/>
  <c r="B539" i="1" a="1"/>
  <c r="B538" i="1" a="1"/>
  <c r="B537" i="1" a="1"/>
  <c r="B536" i="1" a="1"/>
  <c r="B535" i="1" a="1"/>
  <c r="B534" i="1" a="1"/>
  <c r="B533" i="1" a="1"/>
  <c r="B532" i="1" a="1"/>
  <c r="B531" i="1" a="1"/>
  <c r="B530" i="1" a="1"/>
  <c r="B529" i="1" a="1"/>
  <c r="B528" i="1" a="1"/>
  <c r="B527" i="1" a="1"/>
  <c r="B526" i="1" a="1"/>
  <c r="B525" i="1" a="1"/>
  <c r="B524" i="1" a="1"/>
  <c r="B523" i="1" a="1"/>
  <c r="B522" i="1" a="1"/>
  <c r="B521" i="1" a="1"/>
  <c r="B520" i="1" a="1"/>
  <c r="B519" i="1" a="1"/>
  <c r="B518" i="1" a="1"/>
  <c r="B517" i="1" a="1"/>
  <c r="B516" i="1" a="1"/>
  <c r="B515" i="1" a="1"/>
  <c r="B514" i="1" a="1"/>
  <c r="B513" i="1" a="1"/>
  <c r="B512" i="1" a="1"/>
  <c r="B511" i="1" a="1"/>
  <c r="B510" i="1" a="1"/>
  <c r="B509" i="1" a="1"/>
  <c r="B508" i="1" a="1"/>
  <c r="B507" i="1" a="1"/>
  <c r="B506" i="1" a="1"/>
  <c r="B505" i="1" a="1"/>
  <c r="B504" i="1" a="1"/>
  <c r="B503" i="1" a="1"/>
  <c r="B502" i="1" a="1"/>
  <c r="B501" i="1" a="1"/>
  <c r="B500" i="1" a="1"/>
  <c r="B499" i="1" a="1"/>
  <c r="B498" i="1" a="1"/>
  <c r="B497" i="1" a="1"/>
  <c r="B496" i="1" a="1"/>
  <c r="B495" i="1" a="1"/>
  <c r="B494" i="1" a="1"/>
  <c r="B493" i="1" a="1"/>
  <c r="B492" i="1" a="1"/>
  <c r="B491" i="1" a="1"/>
  <c r="B490" i="1" a="1"/>
  <c r="B489" i="1" a="1"/>
  <c r="B488" i="1" a="1"/>
  <c r="B487" i="1" a="1"/>
  <c r="B486" i="1" a="1"/>
  <c r="B485" i="1" a="1"/>
  <c r="B484" i="1" a="1"/>
  <c r="B483" i="1" a="1"/>
  <c r="B482" i="1" a="1"/>
  <c r="B481" i="1" a="1"/>
  <c r="B480" i="1" a="1"/>
  <c r="B479" i="1" a="1"/>
  <c r="B478" i="1" a="1"/>
  <c r="B477" i="1" a="1"/>
  <c r="B476" i="1" a="1"/>
  <c r="B475" i="1" a="1"/>
  <c r="B474" i="1" a="1"/>
  <c r="B473" i="1" a="1"/>
  <c r="B472" i="1" a="1"/>
  <c r="B471" i="1" a="1"/>
  <c r="B470" i="1" a="1"/>
  <c r="B469" i="1" a="1"/>
  <c r="B468" i="1" a="1"/>
  <c r="B467" i="1" a="1"/>
  <c r="B466" i="1" a="1"/>
  <c r="B465" i="1" a="1"/>
  <c r="B464" i="1" a="1"/>
  <c r="B463" i="1" a="1"/>
  <c r="B462" i="1" a="1"/>
  <c r="B461" i="1" a="1"/>
  <c r="B460" i="1" a="1"/>
  <c r="B459" i="1" a="1"/>
  <c r="B458" i="1" a="1"/>
  <c r="B457" i="1" a="1"/>
  <c r="B456" i="1" a="1"/>
  <c r="B455" i="1" a="1"/>
  <c r="B454" i="1" a="1"/>
  <c r="B453" i="1" a="1"/>
  <c r="B452" i="1" a="1"/>
  <c r="B451" i="1" a="1"/>
  <c r="B450" i="1" a="1"/>
  <c r="B449" i="1" a="1"/>
  <c r="B448" i="1" a="1"/>
  <c r="B447" i="1" a="1"/>
  <c r="B446" i="1" a="1"/>
  <c r="B445" i="1" a="1"/>
  <c r="B444" i="1" a="1"/>
  <c r="B443" i="1" a="1"/>
  <c r="B442" i="1" a="1"/>
  <c r="B441" i="1" a="1"/>
  <c r="B440" i="1" a="1"/>
  <c r="B439" i="1" a="1"/>
  <c r="B438" i="1" a="1"/>
  <c r="B437" i="1" a="1"/>
  <c r="B436" i="1" a="1"/>
  <c r="B435" i="1" a="1"/>
  <c r="B434" i="1" a="1"/>
  <c r="B433" i="1" a="1"/>
  <c r="B432" i="1" a="1"/>
  <c r="B431" i="1" a="1"/>
  <c r="B430" i="1" a="1"/>
  <c r="B429" i="1" a="1"/>
  <c r="B428" i="1" a="1"/>
  <c r="B427" i="1" a="1"/>
  <c r="B426" i="1" a="1"/>
  <c r="B425" i="1" a="1"/>
  <c r="B424" i="1" a="1"/>
  <c r="B423" i="1" a="1"/>
  <c r="B422" i="1" a="1"/>
  <c r="B421" i="1" a="1"/>
  <c r="B420" i="1" a="1"/>
  <c r="B419" i="1" a="1"/>
  <c r="B418" i="1" a="1"/>
  <c r="B417" i="1" a="1"/>
  <c r="B416" i="1" a="1"/>
  <c r="B415" i="1" a="1"/>
  <c r="B414" i="1" a="1"/>
  <c r="B413" i="1" a="1"/>
  <c r="B412" i="1" a="1"/>
  <c r="B411" i="1" a="1"/>
  <c r="B410" i="1" a="1"/>
  <c r="B409" i="1" a="1"/>
  <c r="B408" i="1" a="1"/>
  <c r="B407" i="1" a="1"/>
  <c r="B406" i="1" a="1"/>
  <c r="B405" i="1" a="1"/>
  <c r="B404" i="1" a="1"/>
  <c r="B403" i="1" a="1"/>
  <c r="B402" i="1" a="1"/>
  <c r="B401" i="1" a="1"/>
  <c r="B400" i="1" a="1"/>
  <c r="B399" i="1" a="1"/>
  <c r="B398" i="1" a="1"/>
  <c r="B397" i="1" a="1"/>
  <c r="B396" i="1" a="1"/>
  <c r="B395" i="1" a="1"/>
  <c r="B394" i="1" a="1"/>
  <c r="B393" i="1" a="1"/>
  <c r="B392" i="1" a="1"/>
  <c r="B391" i="1" a="1"/>
  <c r="B390" i="1" a="1"/>
  <c r="B389" i="1" a="1"/>
  <c r="B388" i="1" a="1"/>
  <c r="B387" i="1" a="1"/>
  <c r="B386" i="1" a="1"/>
  <c r="B385" i="1" a="1"/>
  <c r="B384" i="1" a="1"/>
  <c r="B383" i="1" a="1"/>
  <c r="B382" i="1" a="1"/>
  <c r="B381" i="1" a="1"/>
  <c r="B380" i="1" a="1"/>
  <c r="B379" i="1" a="1"/>
  <c r="B378" i="1" a="1"/>
  <c r="B377" i="1" a="1"/>
  <c r="B376" i="1" a="1"/>
  <c r="B375" i="1" a="1"/>
  <c r="B374" i="1" a="1"/>
  <c r="B373" i="1" a="1"/>
  <c r="B372" i="1" a="1"/>
  <c r="B371" i="1" a="1"/>
  <c r="B370" i="1" a="1"/>
  <c r="B369" i="1" a="1"/>
  <c r="B368" i="1" a="1"/>
  <c r="B367" i="1" a="1"/>
  <c r="B366" i="1" a="1"/>
  <c r="B365" i="1" a="1"/>
  <c r="B364" i="1" a="1"/>
  <c r="B363" i="1" a="1"/>
  <c r="B362" i="1" a="1"/>
  <c r="B361" i="1" a="1"/>
  <c r="B360" i="1" a="1"/>
  <c r="B359" i="1" a="1"/>
  <c r="B358" i="1" a="1"/>
  <c r="B357" i="1" a="1"/>
  <c r="B356" i="1" a="1"/>
  <c r="B355" i="1" a="1"/>
  <c r="B354" i="1" a="1"/>
  <c r="B353" i="1" a="1"/>
  <c r="B352" i="1" a="1"/>
  <c r="B351" i="1" a="1"/>
  <c r="B350" i="1" a="1"/>
  <c r="B349" i="1" a="1"/>
  <c r="B348" i="1" a="1"/>
  <c r="B347" i="1" a="1"/>
  <c r="B346" i="1" a="1"/>
  <c r="B345" i="1" a="1"/>
  <c r="B344" i="1" a="1"/>
  <c r="B343" i="1" a="1"/>
  <c r="B342" i="1" a="1"/>
  <c r="B341" i="1" a="1"/>
  <c r="B340" i="1" a="1"/>
  <c r="B339" i="1" a="1"/>
  <c r="B338" i="1" a="1"/>
  <c r="B337" i="1" a="1"/>
  <c r="B336" i="1" a="1"/>
  <c r="B335" i="1" a="1"/>
  <c r="B334" i="1" a="1"/>
  <c r="B333" i="1" a="1"/>
  <c r="B332" i="1" a="1"/>
  <c r="B331" i="1" a="1"/>
  <c r="B330" i="1" a="1"/>
  <c r="B329" i="1" a="1"/>
  <c r="B328" i="1" a="1"/>
  <c r="B327" i="1" a="1"/>
  <c r="B326" i="1" a="1"/>
  <c r="B325" i="1" a="1"/>
  <c r="B324" i="1" a="1"/>
  <c r="B323" i="1" a="1"/>
  <c r="B322" i="1" a="1"/>
  <c r="B321" i="1" a="1"/>
  <c r="B320" i="1" a="1"/>
  <c r="B319" i="1" a="1"/>
  <c r="B318" i="1" a="1"/>
  <c r="B317" i="1" a="1"/>
  <c r="B316" i="1" a="1"/>
  <c r="B315" i="1" a="1"/>
  <c r="B314" i="1" a="1"/>
  <c r="B313" i="1" a="1"/>
  <c r="B312" i="1" a="1"/>
  <c r="B311" i="1" a="1"/>
  <c r="B310" i="1" a="1"/>
  <c r="B309" i="1" a="1"/>
  <c r="B308" i="1" a="1"/>
  <c r="B307" i="1" a="1"/>
  <c r="B306" i="1" a="1"/>
  <c r="B305" i="1" a="1"/>
  <c r="B304" i="1" a="1"/>
  <c r="B303" i="1" a="1"/>
  <c r="B302" i="1" a="1"/>
  <c r="B301" i="1" a="1"/>
  <c r="B300" i="1" a="1"/>
  <c r="B299" i="1" a="1"/>
  <c r="B298" i="1" a="1"/>
  <c r="B297" i="1" a="1"/>
  <c r="B296" i="1" a="1"/>
  <c r="B295" i="1" a="1"/>
  <c r="B294" i="1" a="1"/>
  <c r="B293" i="1" a="1"/>
  <c r="B292" i="1" a="1"/>
  <c r="B291" i="1" a="1"/>
  <c r="B290" i="1" a="1"/>
  <c r="B289" i="1" a="1"/>
  <c r="B288" i="1" a="1"/>
  <c r="B287" i="1" a="1"/>
  <c r="B286" i="1" a="1"/>
  <c r="B285" i="1" a="1"/>
  <c r="B284" i="1" a="1"/>
  <c r="B283" i="1" a="1"/>
  <c r="B282" i="1" a="1"/>
  <c r="B281" i="1" a="1"/>
  <c r="B280" i="1" a="1"/>
  <c r="B279" i="1" a="1"/>
  <c r="B278" i="1" a="1"/>
  <c r="B277" i="1" a="1"/>
  <c r="B276" i="1" a="1"/>
  <c r="B275" i="1" a="1"/>
  <c r="B274" i="1" a="1"/>
  <c r="B273" i="1" a="1"/>
  <c r="B272" i="1" a="1"/>
  <c r="B271" i="1" a="1"/>
  <c r="B270" i="1" a="1"/>
  <c r="B269" i="1" a="1"/>
  <c r="B268" i="1" a="1"/>
  <c r="B267" i="1" a="1"/>
  <c r="B266" i="1" a="1"/>
  <c r="B265" i="1" a="1"/>
  <c r="B264" i="1" a="1"/>
  <c r="B263" i="1" a="1"/>
  <c r="B262" i="1" a="1"/>
  <c r="B261" i="1" a="1"/>
  <c r="B260" i="1" a="1"/>
  <c r="B259" i="1" a="1"/>
  <c r="B258" i="1" a="1"/>
  <c r="B257" i="1" a="1"/>
  <c r="B256" i="1" a="1"/>
  <c r="B255" i="1" a="1"/>
  <c r="B254" i="1" a="1"/>
  <c r="B253" i="1" a="1"/>
  <c r="B252" i="1" a="1"/>
  <c r="B251" i="1" a="1"/>
  <c r="B250" i="1" a="1"/>
  <c r="B249" i="1" a="1"/>
  <c r="B248" i="1" a="1"/>
  <c r="B247" i="1" a="1"/>
  <c r="B246" i="1" a="1"/>
  <c r="B245" i="1" a="1"/>
  <c r="B244" i="1" a="1"/>
  <c r="B243" i="1" a="1"/>
  <c r="B242" i="1" a="1"/>
  <c r="B241" i="1" a="1"/>
  <c r="B240" i="1" a="1"/>
  <c r="B239" i="1" a="1"/>
  <c r="B238" i="1" a="1"/>
  <c r="B237" i="1" a="1"/>
  <c r="B236" i="1" a="1"/>
  <c r="B235" i="1" a="1"/>
  <c r="B234" i="1" a="1"/>
  <c r="B233" i="1" a="1"/>
  <c r="B232" i="1" a="1"/>
  <c r="B231" i="1" a="1"/>
  <c r="B230" i="1" a="1"/>
  <c r="B229" i="1" a="1"/>
  <c r="B228" i="1" a="1"/>
  <c r="B227" i="1" a="1"/>
  <c r="B226" i="1" a="1"/>
  <c r="B225" i="1" a="1"/>
  <c r="B224" i="1" a="1"/>
  <c r="B223" i="1" a="1"/>
  <c r="B222" i="1" a="1"/>
  <c r="B221" i="1" a="1"/>
  <c r="B220" i="1" a="1"/>
  <c r="B219" i="1" a="1"/>
  <c r="B218" i="1" a="1"/>
  <c r="B217" i="1" a="1"/>
  <c r="B216" i="1" a="1"/>
  <c r="B215" i="1" a="1"/>
  <c r="B214" i="1" a="1"/>
  <c r="B213" i="1" a="1"/>
  <c r="B212" i="1" a="1"/>
  <c r="B211" i="1" a="1"/>
  <c r="B210" i="1" a="1"/>
  <c r="B209" i="1" a="1"/>
  <c r="B208" i="1" a="1"/>
  <c r="B207" i="1" a="1"/>
  <c r="B206" i="1" a="1"/>
  <c r="B205" i="1" a="1"/>
  <c r="B204" i="1" a="1"/>
  <c r="B203" i="1" a="1"/>
  <c r="B202" i="1" a="1"/>
  <c r="B201" i="1" a="1"/>
  <c r="B200" i="1" a="1"/>
  <c r="B199" i="1" a="1"/>
  <c r="B198" i="1" a="1"/>
  <c r="B197" i="1" a="1"/>
  <c r="B196" i="1" a="1"/>
  <c r="B195" i="1" a="1"/>
  <c r="B194" i="1" a="1"/>
  <c r="B193" i="1" a="1"/>
  <c r="B192" i="1" a="1"/>
  <c r="B191" i="1" a="1"/>
  <c r="B190" i="1" a="1"/>
  <c r="B189" i="1" a="1"/>
  <c r="B188" i="1" a="1"/>
  <c r="B187" i="1" a="1"/>
  <c r="B186" i="1" a="1"/>
  <c r="B185" i="1" a="1"/>
  <c r="B184" i="1" a="1"/>
  <c r="B183" i="1" a="1"/>
  <c r="B182" i="1" a="1"/>
  <c r="B181" i="1" a="1"/>
  <c r="B180" i="1" a="1"/>
  <c r="B179" i="1" a="1"/>
  <c r="B178" i="1" a="1"/>
  <c r="B177" i="1" a="1"/>
  <c r="B176" i="1" a="1"/>
  <c r="B175" i="1" a="1"/>
  <c r="B174" i="1" a="1"/>
  <c r="B173" i="1" a="1"/>
  <c r="B172" i="1" a="1"/>
  <c r="B171" i="1" a="1"/>
  <c r="B170" i="1" a="1"/>
  <c r="B169" i="1" a="1"/>
  <c r="B168" i="1" a="1"/>
  <c r="B167" i="1" a="1"/>
  <c r="B166" i="1" a="1"/>
  <c r="B165" i="1" a="1"/>
  <c r="B164" i="1" a="1"/>
  <c r="B163" i="1" a="1"/>
  <c r="B162" i="1" a="1"/>
  <c r="B161" i="1" a="1"/>
  <c r="B160" i="1" a="1"/>
  <c r="B159" i="1" a="1"/>
  <c r="B158" i="1" a="1"/>
  <c r="B157" i="1" a="1"/>
  <c r="B156" i="1" a="1"/>
  <c r="B155" i="1" a="1"/>
  <c r="B154" i="1" a="1"/>
  <c r="B153" i="1" a="1"/>
  <c r="B152" i="1" a="1"/>
  <c r="B151" i="1" a="1"/>
  <c r="B150" i="1" a="1"/>
  <c r="B149" i="1" a="1"/>
  <c r="B148" i="1" a="1"/>
  <c r="B147" i="1" a="1"/>
  <c r="B146" i="1" a="1"/>
  <c r="B145" i="1" a="1"/>
  <c r="B144" i="1" a="1"/>
  <c r="B143" i="1" a="1"/>
  <c r="B142" i="1" a="1"/>
  <c r="B141" i="1" a="1"/>
  <c r="B140" i="1" a="1"/>
  <c r="B139" i="1" a="1"/>
  <c r="B138" i="1" a="1"/>
  <c r="B137" i="1" a="1"/>
  <c r="B136" i="1" a="1"/>
  <c r="B135" i="1" a="1"/>
  <c r="B134" i="1" a="1"/>
  <c r="B133" i="1" a="1"/>
  <c r="B132" i="1" a="1"/>
  <c r="B131" i="1" a="1"/>
  <c r="B130" i="1" a="1"/>
  <c r="B129" i="1" a="1"/>
  <c r="B128" i="1" a="1"/>
  <c r="B127" i="1" a="1"/>
  <c r="B126" i="1" a="1"/>
  <c r="B125" i="1" a="1"/>
  <c r="B124" i="1" a="1"/>
  <c r="B123" i="1" a="1"/>
  <c r="B122" i="1" a="1"/>
  <c r="B121" i="1" a="1"/>
  <c r="B120" i="1" a="1"/>
  <c r="B119" i="1" a="1"/>
  <c r="B118" i="1" a="1"/>
  <c r="B117" i="1" a="1"/>
  <c r="B116" i="1" a="1"/>
  <c r="B115" i="1" a="1"/>
  <c r="B114" i="1" a="1"/>
  <c r="B113" i="1" a="1"/>
  <c r="B112" i="1" a="1"/>
  <c r="B111" i="1" a="1"/>
  <c r="B110" i="1" a="1"/>
  <c r="B109" i="1" a="1"/>
  <c r="B108" i="1" a="1"/>
  <c r="B107" i="1" a="1"/>
  <c r="B106" i="1" a="1"/>
  <c r="B105" i="1" a="1"/>
  <c r="B104" i="1" a="1"/>
  <c r="B103" i="1" a="1"/>
  <c r="B102" i="1" a="1"/>
  <c r="B101" i="1" a="1"/>
  <c r="B100" i="1" a="1"/>
  <c r="B99" i="1" a="1"/>
  <c r="B98" i="1" a="1"/>
  <c r="B97" i="1" a="1"/>
  <c r="B96" i="1" a="1"/>
  <c r="B95" i="1" a="1"/>
  <c r="B94" i="1" a="1"/>
  <c r="B93" i="1" a="1"/>
  <c r="B92" i="1" a="1"/>
  <c r="B91" i="1" a="1"/>
  <c r="B90" i="1" a="1"/>
  <c r="B89" i="1" a="1"/>
  <c r="B88" i="1" a="1"/>
  <c r="B87" i="1" a="1"/>
  <c r="B86" i="1" a="1"/>
  <c r="B85" i="1" a="1"/>
  <c r="B84" i="1" a="1"/>
  <c r="B83" i="1" a="1"/>
  <c r="B82" i="1" a="1"/>
  <c r="B81" i="1" a="1"/>
  <c r="B80" i="1" a="1"/>
  <c r="B79" i="1" a="1"/>
  <c r="B78" i="1" a="1"/>
  <c r="B77" i="1" a="1"/>
  <c r="B76" i="1" a="1"/>
  <c r="B75" i="1" a="1"/>
  <c r="B74" i="1" a="1"/>
  <c r="B73" i="1" a="1"/>
  <c r="B72" i="1" a="1"/>
  <c r="B71" i="1" a="1"/>
  <c r="B70" i="1" a="1"/>
  <c r="B69" i="1" a="1"/>
  <c r="B68" i="1" a="1"/>
  <c r="B67" i="1" a="1"/>
  <c r="B66" i="1" a="1"/>
  <c r="B65" i="1" a="1"/>
  <c r="B64" i="1" a="1"/>
  <c r="B63" i="1" a="1"/>
  <c r="B62" i="1" a="1"/>
  <c r="B61" i="1" a="1"/>
  <c r="B60" i="1" a="1"/>
  <c r="B59" i="1" a="1"/>
  <c r="B58" i="1" a="1"/>
  <c r="B57" i="1" a="1"/>
  <c r="B56" i="1" a="1"/>
  <c r="B55" i="1" a="1"/>
  <c r="B54" i="1" a="1"/>
  <c r="B53" i="1" a="1"/>
  <c r="B52" i="1" a="1"/>
  <c r="B51" i="1" a="1"/>
  <c r="B50" i="1" a="1"/>
  <c r="B49" i="1" a="1"/>
  <c r="B48" i="1" a="1"/>
  <c r="B47" i="1" a="1"/>
  <c r="B46" i="1" a="1"/>
  <c r="B45" i="1" a="1"/>
  <c r="B44" i="1" a="1"/>
  <c r="B43" i="1" a="1"/>
  <c r="B42" i="1" a="1"/>
  <c r="B41" i="1" a="1"/>
  <c r="B40" i="1" a="1"/>
  <c r="B39" i="1" a="1"/>
  <c r="B38" i="1" a="1"/>
  <c r="B37" i="1" a="1"/>
  <c r="B36" i="1" a="1"/>
  <c r="B35" i="1" a="1"/>
  <c r="B34" i="1" a="1"/>
  <c r="B33" i="1" a="1"/>
  <c r="B32" i="1" a="1"/>
  <c r="B31" i="1" a="1"/>
  <c r="B30" i="1" a="1"/>
  <c r="B29" i="1" a="1"/>
  <c r="B28" i="1" a="1"/>
  <c r="B27" i="1" a="1"/>
  <c r="B26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<sst xmlns="http://schemas.openxmlformats.org/spreadsheetml/2006/main" count="812" uniqueCount="811">
  <si>
    <t>formula</t>
  </si>
  <si>
    <t>result</t>
  </si>
  <si>
    <t>=TEXT(0,"General")</t>
  </si>
  <si>
    <t>=TEXT(0,"0")</t>
  </si>
  <si>
    <t>=TEXT(0,"0.00")</t>
  </si>
  <si>
    <t>=TEXT(0,"#,##0")</t>
  </si>
  <si>
    <t>=TEXT(0,"#,##0.00")</t>
  </si>
  <si>
    <t>=TEXT(0,"#,##0.000")</t>
  </si>
  <si>
    <t>=TEXT(0,"0%")</t>
  </si>
  <si>
    <t>=TEXT(0,"0.00%")</t>
  </si>
  <si>
    <t>=TEXT(0,"0.00E+00")</t>
  </si>
  <si>
    <t>=TEXT(0,"##0.0E+0")</t>
  </si>
  <si>
    <t>=TEXT(0,"0.0E+0")</t>
  </si>
  <si>
    <t>=TEXT(0,"# ?/?")</t>
  </si>
  <si>
    <t>=TEXT(0,"# ??/??")</t>
  </si>
  <si>
    <t>=TEXT(0,"?/?")</t>
  </si>
  <si>
    <t>=TEXT(0,"# ?/8")</t>
  </si>
  <si>
    <t>=TEXT(0,"?/100")</t>
  </si>
  <si>
    <t>=TEXT(0,"""$""#,##0.00")</t>
  </si>
  <si>
    <t>=TEXT(0,"#,##0.00;[Red](#,##0.00)")</t>
  </si>
  <si>
    <t>=TEXT(0,"0.0;-0.0;""zero""")</t>
  </si>
  <si>
    <t>=TEXT(0,"0;(0);-")</t>
  </si>
  <si>
    <t>=TEXT(0,"[&gt;=100]0;[&lt;0]""neg"";""small""")</t>
  </si>
  <si>
    <t>=TEXT(0,"#,##0,")</t>
  </si>
  <si>
    <t>=TEXT(0,"0.0,,""M""")</t>
  </si>
  <si>
    <t>=TEXT(0,"000-00-0000")</t>
  </si>
  <si>
    <t>=TEXT(0,"00000")</t>
  </si>
  <si>
    <t>=TEXT(0,"#.##")</t>
  </si>
  <si>
    <t>=TEXT(0,"0.#")</t>
  </si>
  <si>
    <t>=TEXT(0,"?.??")</t>
  </si>
  <si>
    <t>=TEXT(0,"0.00?")</t>
  </si>
  <si>
    <t>=TEXT(0,"#,##0_);(#,##0)")</t>
  </si>
  <si>
    <t>=TEXT(0,"$#,##0")</t>
  </si>
  <si>
    <t>=TEXT(0,"""Total: ""0")</t>
  </si>
  <si>
    <t>=TEXT(0,"0 ""units""")</t>
  </si>
  <si>
    <t>=TEXT(0,"\#0")</t>
  </si>
  <si>
    <t>=TEXT(0,"@")</t>
  </si>
  <si>
    <t>=TEXT(0,"0;@")</t>
  </si>
  <si>
    <t>=TEXT(0,"m/d/yyyy")</t>
  </si>
  <si>
    <t>=TEXT(0,"d-mmm-yy")</t>
  </si>
  <si>
    <t>=TEXT(0,"mmmm d, yyyy")</t>
  </si>
  <si>
    <t>=TEXT(0,"dddd")</t>
  </si>
  <si>
    <t>=TEXT(0,"ddd, mmm d")</t>
  </si>
  <si>
    <t>=TEXT(0,"mmmmm")</t>
  </si>
  <si>
    <t>=TEXT(0,"yy")</t>
  </si>
  <si>
    <t>=TEXT(0,"h:mm")</t>
  </si>
  <si>
    <t>=TEXT(0,"h:mm:ss")</t>
  </si>
  <si>
    <t>=TEXT(0,"h:mm AM/PM")</t>
  </si>
  <si>
    <t>=TEXT(0,"hh:mm:ss a/p")</t>
  </si>
  <si>
    <t>=TEXT(0,"[h]:mm:ss")</t>
  </si>
  <si>
    <t>=TEXT(0,"[mm]:ss")</t>
  </si>
  <si>
    <t>=TEXT(0,"mm:ss.0")</t>
  </si>
  <si>
    <t>=TEXT(0,"h:mm:ss.000")</t>
  </si>
  <si>
    <t>=TEXT(0,"yyyy-mm-dd hh:mm")</t>
  </si>
  <si>
    <t>=TEXT(0,"m/d/yyyy h:mm")</t>
  </si>
  <si>
    <t>=TEXT(0,"[$-409]mmmm d, yyyy")</t>
  </si>
  <si>
    <t>=TEXT(0,"[$€-407] #,##0.00")</t>
  </si>
  <si>
    <t>=TEXT(0,"General"" kg""")</t>
  </si>
  <si>
    <t>=TEXT(0,"0.00_);[Red]-0.00 ")</t>
  </si>
  <si>
    <t>=TEXT(1,"General")</t>
  </si>
  <si>
    <t>=TEXT(1,"0")</t>
  </si>
  <si>
    <t>=TEXT(1,"0.00")</t>
  </si>
  <si>
    <t>=TEXT(1,"#,##0")</t>
  </si>
  <si>
    <t>=TEXT(1,"#,##0.00")</t>
  </si>
  <si>
    <t>=TEXT(1,"#,##0.000")</t>
  </si>
  <si>
    <t>=TEXT(1,"0%")</t>
  </si>
  <si>
    <t>=TEXT(1,"0.00%")</t>
  </si>
  <si>
    <t>=TEXT(1,"0.00E+00")</t>
  </si>
  <si>
    <t>=TEXT(1,"##0.0E+0")</t>
  </si>
  <si>
    <t>=TEXT(1,"0.0E+0")</t>
  </si>
  <si>
    <t>=TEXT(1,"# ?/?")</t>
  </si>
  <si>
    <t>=TEXT(1,"# ??/??")</t>
  </si>
  <si>
    <t>=TEXT(1,"?/?")</t>
  </si>
  <si>
    <t>=TEXT(1,"# ?/8")</t>
  </si>
  <si>
    <t>=TEXT(1,"?/100")</t>
  </si>
  <si>
    <t>=TEXT(1,"""$""#,##0.00")</t>
  </si>
  <si>
    <t>=TEXT(1,"#,##0.00;[Red](#,##0.00)")</t>
  </si>
  <si>
    <t>=TEXT(1,"0.0;-0.0;""zero""")</t>
  </si>
  <si>
    <t>=TEXT(1,"0;(0);-")</t>
  </si>
  <si>
    <t>=TEXT(1,"[&gt;=100]0;[&lt;0]""neg"";""small""")</t>
  </si>
  <si>
    <t>=TEXT(1,"#,##0,")</t>
  </si>
  <si>
    <t>=TEXT(1,"0.0,,""M""")</t>
  </si>
  <si>
    <t>=TEXT(1,"000-00-0000")</t>
  </si>
  <si>
    <t>=TEXT(1,"00000")</t>
  </si>
  <si>
    <t>=TEXT(1,"#.##")</t>
  </si>
  <si>
    <t>=TEXT(1,"0.#")</t>
  </si>
  <si>
    <t>=TEXT(1,"?.??")</t>
  </si>
  <si>
    <t>=TEXT(1,"0.00?")</t>
  </si>
  <si>
    <t>=TEXT(1,"#,##0_);(#,##0)")</t>
  </si>
  <si>
    <t>=TEXT(1,"$#,##0")</t>
  </si>
  <si>
    <t>=TEXT(1,"""Total: ""0")</t>
  </si>
  <si>
    <t>=TEXT(1,"0 ""units""")</t>
  </si>
  <si>
    <t>=TEXT(1,"\#0")</t>
  </si>
  <si>
    <t>=TEXT(1,"@")</t>
  </si>
  <si>
    <t>=TEXT(1,"0;@")</t>
  </si>
  <si>
    <t>=TEXT(1,"m/d/yyyy")</t>
  </si>
  <si>
    <t>=TEXT(1,"d-mmm-yy")</t>
  </si>
  <si>
    <t>=TEXT(1,"mmmm d, yyyy")</t>
  </si>
  <si>
    <t>=TEXT(1,"dddd")</t>
  </si>
  <si>
    <t>=TEXT(1,"ddd, mmm d")</t>
  </si>
  <si>
    <t>=TEXT(1,"mmmmm")</t>
  </si>
  <si>
    <t>=TEXT(1,"yy")</t>
  </si>
  <si>
    <t>=TEXT(1,"h:mm")</t>
  </si>
  <si>
    <t>=TEXT(1,"h:mm:ss")</t>
  </si>
  <si>
    <t>=TEXT(1,"h:mm AM/PM")</t>
  </si>
  <si>
    <t>=TEXT(1,"hh:mm:ss a/p")</t>
  </si>
  <si>
    <t>=TEXT(1,"[h]:mm:ss")</t>
  </si>
  <si>
    <t>=TEXT(1,"[mm]:ss")</t>
  </si>
  <si>
    <t>=TEXT(1,"mm:ss.0")</t>
  </si>
  <si>
    <t>=TEXT(1,"h:mm:ss.000")</t>
  </si>
  <si>
    <t>=TEXT(1,"yyyy-mm-dd hh:mm")</t>
  </si>
  <si>
    <t>=TEXT(1,"m/d/yyyy h:mm")</t>
  </si>
  <si>
    <t>=TEXT(1,"[$-409]mmmm d, yyyy")</t>
  </si>
  <si>
    <t>=TEXT(1,"[$€-407] #,##0.00")</t>
  </si>
  <si>
    <t>=TEXT(1,"General"" kg""")</t>
  </si>
  <si>
    <t>=TEXT(1,"0.00_);[Red]-0.00 ")</t>
  </si>
  <si>
    <t>=TEXT(-1,"General")</t>
  </si>
  <si>
    <t>=TEXT(-1,"0")</t>
  </si>
  <si>
    <t>=TEXT(-1,"0.00")</t>
  </si>
  <si>
    <t>=TEXT(-1,"#,##0")</t>
  </si>
  <si>
    <t>=TEXT(-1,"#,##0.00")</t>
  </si>
  <si>
    <t>=TEXT(-1,"#,##0.000")</t>
  </si>
  <si>
    <t>=TEXT(-1,"0%")</t>
  </si>
  <si>
    <t>=TEXT(-1,"0.00%")</t>
  </si>
  <si>
    <t>=TEXT(-1,"0.00E+00")</t>
  </si>
  <si>
    <t>=TEXT(-1,"##0.0E+0")</t>
  </si>
  <si>
    <t>=TEXT(-1,"0.0E+0")</t>
  </si>
  <si>
    <t>=TEXT(-1,"# ?/?")</t>
  </si>
  <si>
    <t>=TEXT(-1,"# ??/??")</t>
  </si>
  <si>
    <t>=TEXT(-1,"?/?")</t>
  </si>
  <si>
    <t>=TEXT(-1,"# ?/8")</t>
  </si>
  <si>
    <t>=TEXT(-1,"?/100")</t>
  </si>
  <si>
    <t>=TEXT(-1,"""$""#,##0.00")</t>
  </si>
  <si>
    <t>=TEXT(-1,"#,##0.00;[Red](#,##0.00)")</t>
  </si>
  <si>
    <t>=TEXT(-1,"0.0;-0.0;""zero""")</t>
  </si>
  <si>
    <t>=TEXT(-1,"0;(0);-")</t>
  </si>
  <si>
    <t>=TEXT(-1,"[&gt;=100]0;[&lt;0]""neg"";""small""")</t>
  </si>
  <si>
    <t>=TEXT(-1,"#,##0,")</t>
  </si>
  <si>
    <t>=TEXT(-1,"0.0,,""M""")</t>
  </si>
  <si>
    <t>=TEXT(-1,"000-00-0000")</t>
  </si>
  <si>
    <t>=TEXT(-1,"00000")</t>
  </si>
  <si>
    <t>=TEXT(-1,"#.##")</t>
  </si>
  <si>
    <t>=TEXT(-1,"0.#")</t>
  </si>
  <si>
    <t>=TEXT(-1,"?.??")</t>
  </si>
  <si>
    <t>=TEXT(-1,"0.00?")</t>
  </si>
  <si>
    <t>=TEXT(-1,"#,##0_);(#,##0)")</t>
  </si>
  <si>
    <t>=TEXT(-1,"$#,##0")</t>
  </si>
  <si>
    <t>=TEXT(-1,"""Total: ""0")</t>
  </si>
  <si>
    <t>=TEXT(-1,"0 ""units""")</t>
  </si>
  <si>
    <t>=TEXT(-1,"\#0")</t>
  </si>
  <si>
    <t>=TEXT(-1,"@")</t>
  </si>
  <si>
    <t>=TEXT(-1,"0;@")</t>
  </si>
  <si>
    <t>=TEXT(-1,"m/d/yyyy")</t>
  </si>
  <si>
    <t>=TEXT(-1,"d-mmm-yy")</t>
  </si>
  <si>
    <t>=TEXT(-1,"mmmm d, yyyy")</t>
  </si>
  <si>
    <t>=TEXT(-1,"dddd")</t>
  </si>
  <si>
    <t>=TEXT(-1,"ddd, mmm d")</t>
  </si>
  <si>
    <t>=TEXT(-1,"mmmmm")</t>
  </si>
  <si>
    <t>=TEXT(-1,"yy")</t>
  </si>
  <si>
    <t>=TEXT(-1,"h:mm")</t>
  </si>
  <si>
    <t>=TEXT(-1,"h:mm:ss")</t>
  </si>
  <si>
    <t>=TEXT(-1,"h:mm AM/PM")</t>
  </si>
  <si>
    <t>=TEXT(-1,"hh:mm:ss a/p")</t>
  </si>
  <si>
    <t>=TEXT(-1,"[h]:mm:ss")</t>
  </si>
  <si>
    <t>=TEXT(-1,"[mm]:ss")</t>
  </si>
  <si>
    <t>=TEXT(-1,"mm:ss.0")</t>
  </si>
  <si>
    <t>=TEXT(-1,"h:mm:ss.000")</t>
  </si>
  <si>
    <t>=TEXT(-1,"yyyy-mm-dd hh:mm")</t>
  </si>
  <si>
    <t>=TEXT(-1,"m/d/yyyy h:mm")</t>
  </si>
  <si>
    <t>=TEXT(-1,"[$-409]mmmm d, yyyy")</t>
  </si>
  <si>
    <t>=TEXT(-1,"[$€-407] #,##0.00")</t>
  </si>
  <si>
    <t>=TEXT(-1,"General"" kg""")</t>
  </si>
  <si>
    <t>=TEXT(-1,"0.00_);[Red]-0.00 ")</t>
  </si>
  <si>
    <t>=TEXT(0.5,"General")</t>
  </si>
  <si>
    <t>=TEXT(0.5,"0")</t>
  </si>
  <si>
    <t>=TEXT(0.5,"0.00")</t>
  </si>
  <si>
    <t>=TEXT(0.5,"#,##0")</t>
  </si>
  <si>
    <t>=TEXT(0.5,"#,##0.00")</t>
  </si>
  <si>
    <t>=TEXT(0.5,"#,##0.000")</t>
  </si>
  <si>
    <t>=TEXT(0.5,"0%")</t>
  </si>
  <si>
    <t>=TEXT(0.5,"0.00%")</t>
  </si>
  <si>
    <t>=TEXT(0.5,"0.00E+00")</t>
  </si>
  <si>
    <t>=TEXT(0.5,"##0.0E+0")</t>
  </si>
  <si>
    <t>=TEXT(0.5,"0.0E+0")</t>
  </si>
  <si>
    <t>=TEXT(0.5,"# ?/?")</t>
  </si>
  <si>
    <t>=TEXT(0.5,"# ??/??")</t>
  </si>
  <si>
    <t>=TEXT(0.5,"?/?")</t>
  </si>
  <si>
    <t>=TEXT(0.5,"# ?/8")</t>
  </si>
  <si>
    <t>=TEXT(0.5,"?/100")</t>
  </si>
  <si>
    <t>=TEXT(0.5,"""$""#,##0.00")</t>
  </si>
  <si>
    <t>=TEXT(0.5,"#,##0.00;[Red](#,##0.00)")</t>
  </si>
  <si>
    <t>=TEXT(0.5,"0.0;-0.0;""zero""")</t>
  </si>
  <si>
    <t>=TEXT(0.5,"0;(0);-")</t>
  </si>
  <si>
    <t>=TEXT(0.5,"[&gt;=100]0;[&lt;0]""neg"";""small""")</t>
  </si>
  <si>
    <t>=TEXT(0.5,"#,##0,")</t>
  </si>
  <si>
    <t>=TEXT(0.5,"0.0,,""M""")</t>
  </si>
  <si>
    <t>=TEXT(0.5,"000-00-0000")</t>
  </si>
  <si>
    <t>=TEXT(0.5,"00000")</t>
  </si>
  <si>
    <t>=TEXT(0.5,"#.##")</t>
  </si>
  <si>
    <t>=TEXT(0.5,"0.#")</t>
  </si>
  <si>
    <t>=TEXT(0.5,"?.??")</t>
  </si>
  <si>
    <t>=TEXT(0.5,"0.00?")</t>
  </si>
  <si>
    <t>=TEXT(0.5,"#,##0_);(#,##0)")</t>
  </si>
  <si>
    <t>=TEXT(0.5,"$#,##0")</t>
  </si>
  <si>
    <t>=TEXT(0.5,"""Total: ""0")</t>
  </si>
  <si>
    <t>=TEXT(0.5,"0 ""units""")</t>
  </si>
  <si>
    <t>=TEXT(0.5,"\#0")</t>
  </si>
  <si>
    <t>=TEXT(0.5,"@")</t>
  </si>
  <si>
    <t>=TEXT(0.5,"0;@")</t>
  </si>
  <si>
    <t>=TEXT(0.5,"m/d/yyyy")</t>
  </si>
  <si>
    <t>=TEXT(0.5,"d-mmm-yy")</t>
  </si>
  <si>
    <t>=TEXT(0.5,"mmmm d, yyyy")</t>
  </si>
  <si>
    <t>=TEXT(0.5,"dddd")</t>
  </si>
  <si>
    <t>=TEXT(0.5,"ddd, mmm d")</t>
  </si>
  <si>
    <t>=TEXT(0.5,"mmmmm")</t>
  </si>
  <si>
    <t>=TEXT(0.5,"yy")</t>
  </si>
  <si>
    <t>=TEXT(0.5,"h:mm")</t>
  </si>
  <si>
    <t>=TEXT(0.5,"h:mm:ss")</t>
  </si>
  <si>
    <t>=TEXT(0.5,"h:mm AM/PM")</t>
  </si>
  <si>
    <t>=TEXT(0.5,"hh:mm:ss a/p")</t>
  </si>
  <si>
    <t>=TEXT(0.5,"[h]:mm:ss")</t>
  </si>
  <si>
    <t>=TEXT(0.5,"[mm]:ss")</t>
  </si>
  <si>
    <t>=TEXT(0.5,"mm:ss.0")</t>
  </si>
  <si>
    <t>=TEXT(0.5,"h:mm:ss.000")</t>
  </si>
  <si>
    <t>=TEXT(0.5,"yyyy-mm-dd hh:mm")</t>
  </si>
  <si>
    <t>=TEXT(0.5,"m/d/yyyy h:mm")</t>
  </si>
  <si>
    <t>=TEXT(0.5,"[$-409]mmmm d, yyyy")</t>
  </si>
  <si>
    <t>=TEXT(0.5,"[$€-407] #,##0.00")</t>
  </si>
  <si>
    <t>=TEXT(0.5,"General"" kg""")</t>
  </si>
  <si>
    <t>=TEXT(0.5,"0.00_);[Red]-0.00 ")</t>
  </si>
  <si>
    <t>=TEXT(-0.5,"General")</t>
  </si>
  <si>
    <t>=TEXT(-0.5,"0")</t>
  </si>
  <si>
    <t>=TEXT(-0.5,"0.00")</t>
  </si>
  <si>
    <t>=TEXT(-0.5,"#,##0")</t>
  </si>
  <si>
    <t>=TEXT(-0.5,"#,##0.00")</t>
  </si>
  <si>
    <t>=TEXT(-0.5,"#,##0.000")</t>
  </si>
  <si>
    <t>=TEXT(-0.5,"0%")</t>
  </si>
  <si>
    <t>=TEXT(-0.5,"0.00%")</t>
  </si>
  <si>
    <t>=TEXT(-0.5,"0.00E+00")</t>
  </si>
  <si>
    <t>=TEXT(-0.5,"##0.0E+0")</t>
  </si>
  <si>
    <t>=TEXT(-0.5,"0.0E+0")</t>
  </si>
  <si>
    <t>=TEXT(-0.5,"# ?/?")</t>
  </si>
  <si>
    <t>=TEXT(-0.5,"# ??/??")</t>
  </si>
  <si>
    <t>=TEXT(-0.5,"?/?")</t>
  </si>
  <si>
    <t>=TEXT(-0.5,"# ?/8")</t>
  </si>
  <si>
    <t>=TEXT(-0.5,"?/100")</t>
  </si>
  <si>
    <t>=TEXT(-0.5,"""$""#,##0.00")</t>
  </si>
  <si>
    <t>=TEXT(-0.5,"#,##0.00;[Red](#,##0.00)")</t>
  </si>
  <si>
    <t>=TEXT(-0.5,"0.0;-0.0;""zero""")</t>
  </si>
  <si>
    <t>=TEXT(-0.5,"0;(0);-")</t>
  </si>
  <si>
    <t>=TEXT(-0.5,"[&gt;=100]0;[&lt;0]""neg"";""small""")</t>
  </si>
  <si>
    <t>=TEXT(-0.5,"#,##0,")</t>
  </si>
  <si>
    <t>=TEXT(-0.5,"0.0,,""M""")</t>
  </si>
  <si>
    <t>=TEXT(-0.5,"000-00-0000")</t>
  </si>
  <si>
    <t>=TEXT(-0.5,"00000")</t>
  </si>
  <si>
    <t>=TEXT(-0.5,"#.##")</t>
  </si>
  <si>
    <t>=TEXT(-0.5,"0.#")</t>
  </si>
  <si>
    <t>=TEXT(-0.5,"?.??")</t>
  </si>
  <si>
    <t>=TEXT(-0.5,"0.00?")</t>
  </si>
  <si>
    <t>=TEXT(-0.5,"#,##0_);(#,##0)")</t>
  </si>
  <si>
    <t>=TEXT(-0.5,"$#,##0")</t>
  </si>
  <si>
    <t>=TEXT(-0.5,"""Total: ""0")</t>
  </si>
  <si>
    <t>=TEXT(-0.5,"0 ""units""")</t>
  </si>
  <si>
    <t>=TEXT(-0.5,"\#0")</t>
  </si>
  <si>
    <t>=TEXT(-0.5,"@")</t>
  </si>
  <si>
    <t>=TEXT(-0.5,"0;@")</t>
  </si>
  <si>
    <t>=TEXT(-0.5,"m/d/yyyy")</t>
  </si>
  <si>
    <t>=TEXT(-0.5,"d-mmm-yy")</t>
  </si>
  <si>
    <t>=TEXT(-0.5,"mmmm d, yyyy")</t>
  </si>
  <si>
    <t>=TEXT(-0.5,"dddd")</t>
  </si>
  <si>
    <t>=TEXT(-0.5,"ddd, mmm d")</t>
  </si>
  <si>
    <t>=TEXT(-0.5,"mmmmm")</t>
  </si>
  <si>
    <t>=TEXT(-0.5,"yy")</t>
  </si>
  <si>
    <t>=TEXT(-0.5,"h:mm")</t>
  </si>
  <si>
    <t>=TEXT(-0.5,"h:mm:ss")</t>
  </si>
  <si>
    <t>=TEXT(-0.5,"h:mm AM/PM")</t>
  </si>
  <si>
    <t>=TEXT(-0.5,"hh:mm:ss a/p")</t>
  </si>
  <si>
    <t>=TEXT(-0.5,"[h]:mm:ss")</t>
  </si>
  <si>
    <t>=TEXT(-0.5,"[mm]:ss")</t>
  </si>
  <si>
    <t>=TEXT(-0.5,"mm:ss.0")</t>
  </si>
  <si>
    <t>=TEXT(-0.5,"h:mm:ss.000")</t>
  </si>
  <si>
    <t>=TEXT(-0.5,"yyyy-mm-dd hh:mm")</t>
  </si>
  <si>
    <t>=TEXT(-0.5,"m/d/yyyy h:mm")</t>
  </si>
  <si>
    <t>=TEXT(-0.5,"[$-409]mmmm d, yyyy")</t>
  </si>
  <si>
    <t>=TEXT(-0.5,"[$€-407] #,##0.00")</t>
  </si>
  <si>
    <t>=TEXT(-0.5,"General"" kg""")</t>
  </si>
  <si>
    <t>=TEXT(-0.5,"0.00_);[Red]-0.00 ")</t>
  </si>
  <si>
    <t>=TEXT(1234.5678,"General")</t>
  </si>
  <si>
    <t>=TEXT(1234.5678,"0")</t>
  </si>
  <si>
    <t>=TEXT(1234.5678,"0.00")</t>
  </si>
  <si>
    <t>=TEXT(1234.5678,"#,##0")</t>
  </si>
  <si>
    <t>=TEXT(1234.5678,"#,##0.00")</t>
  </si>
  <si>
    <t>=TEXT(1234.5678,"#,##0.000")</t>
  </si>
  <si>
    <t>=TEXT(1234.5678,"0%")</t>
  </si>
  <si>
    <t>=TEXT(1234.5678,"0.00%")</t>
  </si>
  <si>
    <t>=TEXT(1234.5678,"0.00E+00")</t>
  </si>
  <si>
    <t>=TEXT(1234.5678,"##0.0E+0")</t>
  </si>
  <si>
    <t>=TEXT(1234.5678,"0.0E+0")</t>
  </si>
  <si>
    <t>=TEXT(1234.5678,"# ?/?")</t>
  </si>
  <si>
    <t>=TEXT(1234.5678,"# ??/??")</t>
  </si>
  <si>
    <t>=TEXT(1234.5678,"?/?")</t>
  </si>
  <si>
    <t>=TEXT(1234.5678,"# ?/8")</t>
  </si>
  <si>
    <t>=TEXT(1234.5678,"?/100")</t>
  </si>
  <si>
    <t>=TEXT(1234.5678,"""$""#,##0.00")</t>
  </si>
  <si>
    <t>=TEXT(1234.5678,"#,##0.00;[Red](#,##0.00)")</t>
  </si>
  <si>
    <t>=TEXT(1234.5678,"0.0;-0.0;""zero""")</t>
  </si>
  <si>
    <t>=TEXT(1234.5678,"0;(0);-")</t>
  </si>
  <si>
    <t>=TEXT(1234.5678,"[&gt;=100]0;[&lt;0]""neg"";""small""")</t>
  </si>
  <si>
    <t>=TEXT(1234.5678,"#,##0,")</t>
  </si>
  <si>
    <t>=TEXT(1234.5678,"0.0,,""M""")</t>
  </si>
  <si>
    <t>=TEXT(1234.5678,"000-00-0000")</t>
  </si>
  <si>
    <t>=TEXT(1234.5678,"00000")</t>
  </si>
  <si>
    <t>=TEXT(1234.5678,"#.##")</t>
  </si>
  <si>
    <t>=TEXT(1234.5678,"0.#")</t>
  </si>
  <si>
    <t>=TEXT(1234.5678,"?.??")</t>
  </si>
  <si>
    <t>=TEXT(1234.5678,"0.00?")</t>
  </si>
  <si>
    <t>=TEXT(1234.5678,"#,##0_);(#,##0)")</t>
  </si>
  <si>
    <t>=TEXT(1234.5678,"$#,##0")</t>
  </si>
  <si>
    <t>=TEXT(1234.5678,"""Total: ""0")</t>
  </si>
  <si>
    <t>=TEXT(1234.5678,"0 ""units""")</t>
  </si>
  <si>
    <t>=TEXT(1234.5678,"\#0")</t>
  </si>
  <si>
    <t>=TEXT(1234.5678,"@")</t>
  </si>
  <si>
    <t>=TEXT(1234.5678,"0;@")</t>
  </si>
  <si>
    <t>=TEXT(1234.5678,"m/d/yyyy")</t>
  </si>
  <si>
    <t>=TEXT(1234.5678,"d-mmm-yy")</t>
  </si>
  <si>
    <t>=TEXT(1234.5678,"mmmm d, yyyy")</t>
  </si>
  <si>
    <t>=TEXT(1234.5678,"dddd")</t>
  </si>
  <si>
    <t>=TEXT(1234.5678,"ddd, mmm d")</t>
  </si>
  <si>
    <t>=TEXT(1234.5678,"mmmmm")</t>
  </si>
  <si>
    <t>=TEXT(1234.5678,"yy")</t>
  </si>
  <si>
    <t>=TEXT(1234.5678,"h:mm")</t>
  </si>
  <si>
    <t>=TEXT(1234.5678,"h:mm:ss")</t>
  </si>
  <si>
    <t>=TEXT(1234.5678,"h:mm AM/PM")</t>
  </si>
  <si>
    <t>=TEXT(1234.5678,"hh:mm:ss a/p")</t>
  </si>
  <si>
    <t>=TEXT(1234.5678,"[h]:mm:ss")</t>
  </si>
  <si>
    <t>=TEXT(1234.5678,"[mm]:ss")</t>
  </si>
  <si>
    <t>=TEXT(1234.5678,"mm:ss.0")</t>
  </si>
  <si>
    <t>=TEXT(1234.5678,"h:mm:ss.000")</t>
  </si>
  <si>
    <t>=TEXT(1234.5678,"yyyy-mm-dd hh:mm")</t>
  </si>
  <si>
    <t>=TEXT(1234.5678,"m/d/yyyy h:mm")</t>
  </si>
  <si>
    <t>=TEXT(1234.5678,"[$-409]mmmm d, yyyy")</t>
  </si>
  <si>
    <t>=TEXT(1234.5678,"[$€-407] #,##0.00")</t>
  </si>
  <si>
    <t>=TEXT(1234.5678,"General"" kg""")</t>
  </si>
  <si>
    <t>=TEXT(1234.5678,"0.00_);[Red]-0.00 ")</t>
  </si>
  <si>
    <t>=TEXT(-1234.5678,"General")</t>
  </si>
  <si>
    <t>=TEXT(-1234.5678,"0")</t>
  </si>
  <si>
    <t>=TEXT(-1234.5678,"0.00")</t>
  </si>
  <si>
    <t>=TEXT(-1234.5678,"#,##0")</t>
  </si>
  <si>
    <t>=TEXT(-1234.5678,"#,##0.00")</t>
  </si>
  <si>
    <t>=TEXT(-1234.5678,"#,##0.000")</t>
  </si>
  <si>
    <t>=TEXT(-1234.5678,"0%")</t>
  </si>
  <si>
    <t>=TEXT(-1234.5678,"0.00%")</t>
  </si>
  <si>
    <t>=TEXT(-1234.5678,"0.00E+00")</t>
  </si>
  <si>
    <t>=TEXT(-1234.5678,"##0.0E+0")</t>
  </si>
  <si>
    <t>=TEXT(-1234.5678,"0.0E+0")</t>
  </si>
  <si>
    <t>=TEXT(-1234.5678,"# ?/?")</t>
  </si>
  <si>
    <t>=TEXT(-1234.5678,"# ??/??")</t>
  </si>
  <si>
    <t>=TEXT(-1234.5678,"?/?")</t>
  </si>
  <si>
    <t>=TEXT(-1234.5678,"# ?/8")</t>
  </si>
  <si>
    <t>=TEXT(-1234.5678,"?/100")</t>
  </si>
  <si>
    <t>=TEXT(-1234.5678,"""$""#,##0.00")</t>
  </si>
  <si>
    <t>=TEXT(-1234.5678,"#,##0.00;[Red](#,##0.00)")</t>
  </si>
  <si>
    <t>=TEXT(-1234.5678,"0.0;-0.0;""zero""")</t>
  </si>
  <si>
    <t>=TEXT(-1234.5678,"0;(0);-")</t>
  </si>
  <si>
    <t>=TEXT(-1234.5678,"[&gt;=100]0;[&lt;0]""neg"";""small""")</t>
  </si>
  <si>
    <t>=TEXT(-1234.5678,"#,##0,")</t>
  </si>
  <si>
    <t>=TEXT(-1234.5678,"0.0,,""M""")</t>
  </si>
  <si>
    <t>=TEXT(-1234.5678,"000-00-0000")</t>
  </si>
  <si>
    <t>=TEXT(-1234.5678,"00000")</t>
  </si>
  <si>
    <t>=TEXT(-1234.5678,"#.##")</t>
  </si>
  <si>
    <t>=TEXT(-1234.5678,"0.#")</t>
  </si>
  <si>
    <t>=TEXT(-1234.5678,"?.??")</t>
  </si>
  <si>
    <t>=TEXT(-1234.5678,"0.00?")</t>
  </si>
  <si>
    <t>=TEXT(-1234.5678,"#,##0_);(#,##0)")</t>
  </si>
  <si>
    <t>=TEXT(-1234.5678,"$#,##0")</t>
  </si>
  <si>
    <t>=TEXT(-1234.5678,"""Total: ""0")</t>
  </si>
  <si>
    <t>=TEXT(-1234.5678,"0 ""units""")</t>
  </si>
  <si>
    <t>=TEXT(-1234.5678,"\#0")</t>
  </si>
  <si>
    <t>=TEXT(-1234.5678,"@")</t>
  </si>
  <si>
    <t>=TEXT(-1234.5678,"0;@")</t>
  </si>
  <si>
    <t>=TEXT(-1234.5678,"m/d/yyyy")</t>
  </si>
  <si>
    <t>=TEXT(-1234.5678,"d-mmm-yy")</t>
  </si>
  <si>
    <t>=TEXT(-1234.5678,"mmmm d, yyyy")</t>
  </si>
  <si>
    <t>=TEXT(-1234.5678,"dddd")</t>
  </si>
  <si>
    <t>=TEXT(-1234.5678,"ddd, mmm d")</t>
  </si>
  <si>
    <t>=TEXT(-1234.5678,"mmmmm")</t>
  </si>
  <si>
    <t>=TEXT(-1234.5678,"yy")</t>
  </si>
  <si>
    <t>=TEXT(-1234.5678,"h:mm")</t>
  </si>
  <si>
    <t>=TEXT(-1234.5678,"h:mm:ss")</t>
  </si>
  <si>
    <t>=TEXT(-1234.5678,"h:mm AM/PM")</t>
  </si>
  <si>
    <t>=TEXT(-1234.5678,"hh:mm:ss a/p")</t>
  </si>
  <si>
    <t>=TEXT(-1234.5678,"[h]:mm:ss")</t>
  </si>
  <si>
    <t>=TEXT(-1234.5678,"[mm]:ss")</t>
  </si>
  <si>
    <t>=TEXT(-1234.5678,"mm:ss.0")</t>
  </si>
  <si>
    <t>=TEXT(-1234.5678,"h:mm:ss.000")</t>
  </si>
  <si>
    <t>=TEXT(-1234.5678,"yyyy-mm-dd hh:mm")</t>
  </si>
  <si>
    <t>=TEXT(-1234.5678,"m/d/yyyy h:mm")</t>
  </si>
  <si>
    <t>=TEXT(-1234.5678,"[$-409]mmmm d, yyyy")</t>
  </si>
  <si>
    <t>=TEXT(-1234.5678,"[$€-407] #,##0.00")</t>
  </si>
  <si>
    <t>=TEXT(-1234.5678,"General"" kg""")</t>
  </si>
  <si>
    <t>=TEXT(-1234.5678,"0.00_);[Red]-0.00 ")</t>
  </si>
  <si>
    <t>=TEXT(0.001234,"General")</t>
  </si>
  <si>
    <t>=TEXT(0.001234,"0")</t>
  </si>
  <si>
    <t>=TEXT(0.001234,"0.00")</t>
  </si>
  <si>
    <t>=TEXT(0.001234,"#,##0")</t>
  </si>
  <si>
    <t>=TEXT(0.001234,"#,##0.00")</t>
  </si>
  <si>
    <t>=TEXT(0.001234,"#,##0.000")</t>
  </si>
  <si>
    <t>=TEXT(0.001234,"0%")</t>
  </si>
  <si>
    <t>=TEXT(0.001234,"0.00%")</t>
  </si>
  <si>
    <t>=TEXT(0.001234,"0.00E+00")</t>
  </si>
  <si>
    <t>=TEXT(0.001234,"##0.0E+0")</t>
  </si>
  <si>
    <t>=TEXT(0.001234,"0.0E+0")</t>
  </si>
  <si>
    <t>=TEXT(0.001234,"# ?/?")</t>
  </si>
  <si>
    <t>=TEXT(0.001234,"# ??/??")</t>
  </si>
  <si>
    <t>=TEXT(0.001234,"?/?")</t>
  </si>
  <si>
    <t>=TEXT(0.001234,"# ?/8")</t>
  </si>
  <si>
    <t>=TEXT(0.001234,"?/100")</t>
  </si>
  <si>
    <t>=TEXT(0.001234,"""$""#,##0.00")</t>
  </si>
  <si>
    <t>=TEXT(0.001234,"#,##0.00;[Red](#,##0.00)")</t>
  </si>
  <si>
    <t>=TEXT(0.001234,"0.0;-0.0;""zero""")</t>
  </si>
  <si>
    <t>=TEXT(0.001234,"0;(0);-")</t>
  </si>
  <si>
    <t>=TEXT(0.001234,"[&gt;=100]0;[&lt;0]""neg"";""small""")</t>
  </si>
  <si>
    <t>=TEXT(0.001234,"#,##0,")</t>
  </si>
  <si>
    <t>=TEXT(0.001234,"0.0,,""M""")</t>
  </si>
  <si>
    <t>=TEXT(0.001234,"000-00-0000")</t>
  </si>
  <si>
    <t>=TEXT(0.001234,"00000")</t>
  </si>
  <si>
    <t>=TEXT(0.001234,"#.##")</t>
  </si>
  <si>
    <t>=TEXT(0.001234,"0.#")</t>
  </si>
  <si>
    <t>=TEXT(0.001234,"?.??")</t>
  </si>
  <si>
    <t>=TEXT(0.001234,"0.00?")</t>
  </si>
  <si>
    <t>=TEXT(0.001234,"#,##0_);(#,##0)")</t>
  </si>
  <si>
    <t>=TEXT(0.001234,"$#,##0")</t>
  </si>
  <si>
    <t>=TEXT(0.001234,"""Total: ""0")</t>
  </si>
  <si>
    <t>=TEXT(0.001234,"0 ""units""")</t>
  </si>
  <si>
    <t>=TEXT(0.001234,"\#0")</t>
  </si>
  <si>
    <t>=TEXT(0.001234,"@")</t>
  </si>
  <si>
    <t>=TEXT(0.001234,"0;@")</t>
  </si>
  <si>
    <t>=TEXT(0.001234,"m/d/yyyy")</t>
  </si>
  <si>
    <t>=TEXT(0.001234,"d-mmm-yy")</t>
  </si>
  <si>
    <t>=TEXT(0.001234,"mmmm d, yyyy")</t>
  </si>
  <si>
    <t>=TEXT(0.001234,"dddd")</t>
  </si>
  <si>
    <t>=TEXT(0.001234,"ddd, mmm d")</t>
  </si>
  <si>
    <t>=TEXT(0.001234,"mmmmm")</t>
  </si>
  <si>
    <t>=TEXT(0.001234,"yy")</t>
  </si>
  <si>
    <t>=TEXT(0.001234,"h:mm")</t>
  </si>
  <si>
    <t>=TEXT(0.001234,"h:mm:ss")</t>
  </si>
  <si>
    <t>=TEXT(0.001234,"h:mm AM/PM")</t>
  </si>
  <si>
    <t>=TEXT(0.001234,"hh:mm:ss a/p")</t>
  </si>
  <si>
    <t>=TEXT(0.001234,"[h]:mm:ss")</t>
  </si>
  <si>
    <t>=TEXT(0.001234,"[mm]:ss")</t>
  </si>
  <si>
    <t>=TEXT(0.001234,"mm:ss.0")</t>
  </si>
  <si>
    <t>=TEXT(0.001234,"h:mm:ss.000")</t>
  </si>
  <si>
    <t>=TEXT(0.001234,"yyyy-mm-dd hh:mm")</t>
  </si>
  <si>
    <t>=TEXT(0.001234,"m/d/yyyy h:mm")</t>
  </si>
  <si>
    <t>=TEXT(0.001234,"[$-409]mmmm d, yyyy")</t>
  </si>
  <si>
    <t>=TEXT(0.001234,"[$€-407] #,##0.00")</t>
  </si>
  <si>
    <t>=TEXT(0.001234,"General"" kg""")</t>
  </si>
  <si>
    <t>=TEXT(0.001234,"0.00_);[Red]-0.00 ")</t>
  </si>
  <si>
    <t>=TEXT(1234567.891,"General")</t>
  </si>
  <si>
    <t>=TEXT(1234567.891,"0")</t>
  </si>
  <si>
    <t>=TEXT(1234567.891,"0.00")</t>
  </si>
  <si>
    <t>=TEXT(1234567.891,"#,##0")</t>
  </si>
  <si>
    <t>=TEXT(1234567.891,"#,##0.00")</t>
  </si>
  <si>
    <t>=TEXT(1234567.891,"#,##0.000")</t>
  </si>
  <si>
    <t>=TEXT(1234567.891,"0%")</t>
  </si>
  <si>
    <t>=TEXT(1234567.891,"0.00%")</t>
  </si>
  <si>
    <t>=TEXT(1234567.891,"0.00E+00")</t>
  </si>
  <si>
    <t>=TEXT(1234567.891,"##0.0E+0")</t>
  </si>
  <si>
    <t>=TEXT(1234567.891,"0.0E+0")</t>
  </si>
  <si>
    <t>=TEXT(1234567.891,"# ?/?")</t>
  </si>
  <si>
    <t>=TEXT(1234567.891,"# ??/??")</t>
  </si>
  <si>
    <t>=TEXT(1234567.891,"?/?")</t>
  </si>
  <si>
    <t>=TEXT(1234567.891,"# ?/8")</t>
  </si>
  <si>
    <t>=TEXT(1234567.891,"?/100")</t>
  </si>
  <si>
    <t>=TEXT(1234567.891,"""$""#,##0.00")</t>
  </si>
  <si>
    <t>=TEXT(1234567.891,"#,##0.00;[Red](#,##0.00)")</t>
  </si>
  <si>
    <t>=TEXT(1234567.891,"0.0;-0.0;""zero""")</t>
  </si>
  <si>
    <t>=TEXT(1234567.891,"0;(0);-")</t>
  </si>
  <si>
    <t>=TEXT(1234567.891,"[&gt;=100]0;[&lt;0]""neg"";""small""")</t>
  </si>
  <si>
    <t>=TEXT(1234567.891,"#,##0,")</t>
  </si>
  <si>
    <t>=TEXT(1234567.891,"0.0,,""M""")</t>
  </si>
  <si>
    <t>=TEXT(1234567.891,"000-00-0000")</t>
  </si>
  <si>
    <t>=TEXT(1234567.891,"00000")</t>
  </si>
  <si>
    <t>=TEXT(1234567.891,"#.##")</t>
  </si>
  <si>
    <t>=TEXT(1234567.891,"0.#")</t>
  </si>
  <si>
    <t>=TEXT(1234567.891,"?.??")</t>
  </si>
  <si>
    <t>=TEXT(1234567.891,"0.00?")</t>
  </si>
  <si>
    <t>=TEXT(1234567.891,"#,##0_);(#,##0)")</t>
  </si>
  <si>
    <t>=TEXT(1234567.891,"$#,##0")</t>
  </si>
  <si>
    <t>=TEXT(1234567.891,"""Total: ""0")</t>
  </si>
  <si>
    <t>=TEXT(1234567.891,"0 ""units""")</t>
  </si>
  <si>
    <t>=TEXT(1234567.891,"\#0")</t>
  </si>
  <si>
    <t>=TEXT(1234567.891,"@")</t>
  </si>
  <si>
    <t>=TEXT(1234567.891,"0;@")</t>
  </si>
  <si>
    <t>=TEXT(1234567.891,"m/d/yyyy")</t>
  </si>
  <si>
    <t>=TEXT(1234567.891,"d-mmm-yy")</t>
  </si>
  <si>
    <t>=TEXT(1234567.891,"mmmm d, yyyy")</t>
  </si>
  <si>
    <t>=TEXT(1234567.891,"dddd")</t>
  </si>
  <si>
    <t>=TEXT(1234567.891,"ddd, mmm d")</t>
  </si>
  <si>
    <t>=TEXT(1234567.891,"mmmmm")</t>
  </si>
  <si>
    <t>=TEXT(1234567.891,"yy")</t>
  </si>
  <si>
    <t>=TEXT(1234567.891,"h:mm")</t>
  </si>
  <si>
    <t>=TEXT(1234567.891,"h:mm:ss")</t>
  </si>
  <si>
    <t>=TEXT(1234567.891,"h:mm AM/PM")</t>
  </si>
  <si>
    <t>=TEXT(1234567.891,"hh:mm:ss a/p")</t>
  </si>
  <si>
    <t>=TEXT(1234567.891,"[h]:mm:ss")</t>
  </si>
  <si>
    <t>=TEXT(1234567.891,"[mm]:ss")</t>
  </si>
  <si>
    <t>=TEXT(1234567.891,"mm:ss.0")</t>
  </si>
  <si>
    <t>=TEXT(1234567.891,"h:mm:ss.000")</t>
  </si>
  <si>
    <t>=TEXT(1234567.891,"yyyy-mm-dd hh:mm")</t>
  </si>
  <si>
    <t>=TEXT(1234567.891,"m/d/yyyy h:mm")</t>
  </si>
  <si>
    <t>=TEXT(1234567.891,"[$-409]mmmm d, yyyy")</t>
  </si>
  <si>
    <t>=TEXT(1234567.891,"[$€-407] #,##0.00")</t>
  </si>
  <si>
    <t>=TEXT(1234567.891,"General"" kg""")</t>
  </si>
  <si>
    <t>=TEXT(1234567.891,"0.00_);[Red]-0.00 ")</t>
  </si>
  <si>
    <t>=TEXT(1000000000000000,"General")</t>
  </si>
  <si>
    <t>=TEXT(1000000000000000,"0")</t>
  </si>
  <si>
    <t>=TEXT(1000000000000000,"0.00")</t>
  </si>
  <si>
    <t>=TEXT(1000000000000000,"#,##0")</t>
  </si>
  <si>
    <t>=TEXT(1000000000000000,"#,##0.00")</t>
  </si>
  <si>
    <t>=TEXT(1000000000000000,"#,##0.000")</t>
  </si>
  <si>
    <t>=TEXT(1000000000000000,"0%")</t>
  </si>
  <si>
    <t>=TEXT(1000000000000000,"0.00%")</t>
  </si>
  <si>
    <t>=TEXT(1000000000000000,"0.00E+00")</t>
  </si>
  <si>
    <t>=TEXT(1000000000000000,"##0.0E+0")</t>
  </si>
  <si>
    <t>=TEXT(1000000000000000,"0.0E+0")</t>
  </si>
  <si>
    <t>=TEXT(1000000000000000,"# ?/?")</t>
  </si>
  <si>
    <t>=TEXT(1000000000000000,"# ??/??")</t>
  </si>
  <si>
    <t>=TEXT(1000000000000000,"?/?")</t>
  </si>
  <si>
    <t>=TEXT(1000000000000000,"# ?/8")</t>
  </si>
  <si>
    <t>=TEXT(1000000000000000,"?/100")</t>
  </si>
  <si>
    <t>=TEXT(1000000000000000,"""$""#,##0.00")</t>
  </si>
  <si>
    <t>=TEXT(1000000000000000,"#,##0.00;[Red](#,##0.00)")</t>
  </si>
  <si>
    <t>=TEXT(1000000000000000,"0.0;-0.0;""zero""")</t>
  </si>
  <si>
    <t>=TEXT(1000000000000000,"0;(0);-")</t>
  </si>
  <si>
    <t>=TEXT(1000000000000000,"[&gt;=100]0;[&lt;0]""neg"";""small""")</t>
  </si>
  <si>
    <t>=TEXT(1000000000000000,"#,##0,")</t>
  </si>
  <si>
    <t>=TEXT(1000000000000000,"0.0,,""M""")</t>
  </si>
  <si>
    <t>=TEXT(1000000000000000,"000-00-0000")</t>
  </si>
  <si>
    <t>=TEXT(1000000000000000,"00000")</t>
  </si>
  <si>
    <t>=TEXT(1000000000000000,"#.##")</t>
  </si>
  <si>
    <t>=TEXT(1000000000000000,"0.#")</t>
  </si>
  <si>
    <t>=TEXT(1000000000000000,"?.??")</t>
  </si>
  <si>
    <t>=TEXT(1000000000000000,"0.00?")</t>
  </si>
  <si>
    <t>=TEXT(1000000000000000,"#,##0_);(#,##0)")</t>
  </si>
  <si>
    <t>=TEXT(1000000000000000,"$#,##0")</t>
  </si>
  <si>
    <t>=TEXT(1000000000000000,"""Total: ""0")</t>
  </si>
  <si>
    <t>=TEXT(1000000000000000,"0 ""units""")</t>
  </si>
  <si>
    <t>=TEXT(1000000000000000,"\#0")</t>
  </si>
  <si>
    <t>=TEXT(1000000000000000,"@")</t>
  </si>
  <si>
    <t>=TEXT(1000000000000000,"0;@")</t>
  </si>
  <si>
    <t>=TEXT(1000000000000000,"m/d/yyyy")</t>
  </si>
  <si>
    <t>=TEXT(1000000000000000,"d-mmm-yy")</t>
  </si>
  <si>
    <t>=TEXT(1000000000000000,"mmmm d, yyyy")</t>
  </si>
  <si>
    <t>=TEXT(1000000000000000,"dddd")</t>
  </si>
  <si>
    <t>=TEXT(1000000000000000,"ddd, mmm d")</t>
  </si>
  <si>
    <t>=TEXT(1000000000000000,"mmmmm")</t>
  </si>
  <si>
    <t>=TEXT(1000000000000000,"yy")</t>
  </si>
  <si>
    <t>=TEXT(1000000000000000,"h:mm")</t>
  </si>
  <si>
    <t>=TEXT(1000000000000000,"h:mm:ss")</t>
  </si>
  <si>
    <t>=TEXT(1000000000000000,"h:mm AM/PM")</t>
  </si>
  <si>
    <t>=TEXT(1000000000000000,"hh:mm:ss a/p")</t>
  </si>
  <si>
    <t>=TEXT(1000000000000000,"[h]:mm:ss")</t>
  </si>
  <si>
    <t>=TEXT(1000000000000000,"[mm]:ss")</t>
  </si>
  <si>
    <t>=TEXT(1000000000000000,"mm:ss.0")</t>
  </si>
  <si>
    <t>=TEXT(1000000000000000,"h:mm:ss.000")</t>
  </si>
  <si>
    <t>=TEXT(1000000000000000,"yyyy-mm-dd hh:mm")</t>
  </si>
  <si>
    <t>=TEXT(1000000000000000,"m/d/yyyy h:mm")</t>
  </si>
  <si>
    <t>=TEXT(1000000000000000,"[$-409]mmmm d, yyyy")</t>
  </si>
  <si>
    <t>=TEXT(1000000000000000,"[$€-407] #,##0.00")</t>
  </si>
  <si>
    <t>=TEXT(1000000000000000,"General"" kg""")</t>
  </si>
  <si>
    <t>=TEXT(1000000000000000,"0.00_);[Red]-0.00 ")</t>
  </si>
  <si>
    <t>=TEXT(0.00000000015,"General")</t>
  </si>
  <si>
    <t>=TEXT(0.00000000015,"0")</t>
  </si>
  <si>
    <t>=TEXT(0.00000000015,"0.00")</t>
  </si>
  <si>
    <t>=TEXT(0.00000000015,"#,##0")</t>
  </si>
  <si>
    <t>=TEXT(0.00000000015,"#,##0.00")</t>
  </si>
  <si>
    <t>=TEXT(0.00000000015,"#,##0.000")</t>
  </si>
  <si>
    <t>=TEXT(0.00000000015,"0%")</t>
  </si>
  <si>
    <t>=TEXT(0.00000000015,"0.00%")</t>
  </si>
  <si>
    <t>=TEXT(0.00000000015,"0.00E+00")</t>
  </si>
  <si>
    <t>=TEXT(0.00000000015,"##0.0E+0")</t>
  </si>
  <si>
    <t>=TEXT(0.00000000015,"0.0E+0")</t>
  </si>
  <si>
    <t>=TEXT(0.00000000015,"# ?/?")</t>
  </si>
  <si>
    <t>=TEXT(0.00000000015,"# ??/??")</t>
  </si>
  <si>
    <t>=TEXT(0.00000000015,"?/?")</t>
  </si>
  <si>
    <t>=TEXT(0.00000000015,"# ?/8")</t>
  </si>
  <si>
    <t>=TEXT(0.00000000015,"?/100")</t>
  </si>
  <si>
    <t>=TEXT(0.00000000015,"""$""#,##0.00")</t>
  </si>
  <si>
    <t>=TEXT(0.00000000015,"#,##0.00;[Red](#,##0.00)")</t>
  </si>
  <si>
    <t>=TEXT(0.00000000015,"0.0;-0.0;""zero""")</t>
  </si>
  <si>
    <t>=TEXT(0.00000000015,"0;(0);-")</t>
  </si>
  <si>
    <t>=TEXT(0.00000000015,"[&gt;=100]0;[&lt;0]""neg"";""small""")</t>
  </si>
  <si>
    <t>=TEXT(0.00000000015,"#,##0,")</t>
  </si>
  <si>
    <t>=TEXT(0.00000000015,"0.0,,""M""")</t>
  </si>
  <si>
    <t>=TEXT(0.00000000015,"000-00-0000")</t>
  </si>
  <si>
    <t>=TEXT(0.00000000015,"00000")</t>
  </si>
  <si>
    <t>=TEXT(0.00000000015,"#.##")</t>
  </si>
  <si>
    <t>=TEXT(0.00000000015,"0.#")</t>
  </si>
  <si>
    <t>=TEXT(0.00000000015,"?.??")</t>
  </si>
  <si>
    <t>=TEXT(0.00000000015,"0.00?")</t>
  </si>
  <si>
    <t>=TEXT(0.00000000015,"#,##0_);(#,##0)")</t>
  </si>
  <si>
    <t>=TEXT(0.00000000015,"$#,##0")</t>
  </si>
  <si>
    <t>=TEXT(0.00000000015,"""Total: ""0")</t>
  </si>
  <si>
    <t>=TEXT(0.00000000015,"0 ""units""")</t>
  </si>
  <si>
    <t>=TEXT(0.00000000015,"\#0")</t>
  </si>
  <si>
    <t>=TEXT(0.00000000015,"@")</t>
  </si>
  <si>
    <t>=TEXT(0.00000000015,"0;@")</t>
  </si>
  <si>
    <t>=TEXT(0.00000000015,"m/d/yyyy")</t>
  </si>
  <si>
    <t>=TEXT(0.00000000015,"d-mmm-yy")</t>
  </si>
  <si>
    <t>=TEXT(0.00000000015,"mmmm d, yyyy")</t>
  </si>
  <si>
    <t>=TEXT(0.00000000015,"dddd")</t>
  </si>
  <si>
    <t>=TEXT(0.00000000015,"ddd, mmm d")</t>
  </si>
  <si>
    <t>=TEXT(0.00000000015,"mmmmm")</t>
  </si>
  <si>
    <t>=TEXT(0.00000000015,"yy")</t>
  </si>
  <si>
    <t>=TEXT(0.00000000015,"h:mm")</t>
  </si>
  <si>
    <t>=TEXT(0.00000000015,"h:mm:ss")</t>
  </si>
  <si>
    <t>=TEXT(0.00000000015,"h:mm AM/PM")</t>
  </si>
  <si>
    <t>=TEXT(0.00000000015,"hh:mm:ss a/p")</t>
  </si>
  <si>
    <t>=TEXT(0.00000000015,"[h]:mm:ss")</t>
  </si>
  <si>
    <t>=TEXT(0.00000000015,"[mm]:ss")</t>
  </si>
  <si>
    <t>=TEXT(0.00000000015,"mm:ss.0")</t>
  </si>
  <si>
    <t>=TEXT(0.00000000015,"h:mm:ss.000")</t>
  </si>
  <si>
    <t>=TEXT(0.00000000015,"yyyy-mm-dd hh:mm")</t>
  </si>
  <si>
    <t>=TEXT(0.00000000015,"m/d/yyyy h:mm")</t>
  </si>
  <si>
    <t>=TEXT(0.00000000015,"[$-409]mmmm d, yyyy")</t>
  </si>
  <si>
    <t>=TEXT(0.00000000015,"[$€-407] #,##0.00")</t>
  </si>
  <si>
    <t>=TEXT(0.00000000015,"General"" kg""")</t>
  </si>
  <si>
    <t>=TEXT(0.00000000015,"0.00_);[Red]-0.00 ")</t>
  </si>
  <si>
    <t>=TEXT(45351.75,"General")</t>
  </si>
  <si>
    <t>=TEXT(45351.75,"0")</t>
  </si>
  <si>
    <t>=TEXT(45351.75,"0.00")</t>
  </si>
  <si>
    <t>=TEXT(45351.75,"#,##0")</t>
  </si>
  <si>
    <t>=TEXT(45351.75,"#,##0.00")</t>
  </si>
  <si>
    <t>=TEXT(45351.75,"#,##0.000")</t>
  </si>
  <si>
    <t>=TEXT(45351.75,"0%")</t>
  </si>
  <si>
    <t>=TEXT(45351.75,"0.00%")</t>
  </si>
  <si>
    <t>=TEXT(45351.75,"0.00E+00")</t>
  </si>
  <si>
    <t>=TEXT(45351.75,"##0.0E+0")</t>
  </si>
  <si>
    <t>=TEXT(45351.75,"0.0E+0")</t>
  </si>
  <si>
    <t>=TEXT(45351.75,"# ?/?")</t>
  </si>
  <si>
    <t>=TEXT(45351.75,"# ??/??")</t>
  </si>
  <si>
    <t>=TEXT(45351.75,"?/?")</t>
  </si>
  <si>
    <t>=TEXT(45351.75,"# ?/8")</t>
  </si>
  <si>
    <t>=TEXT(45351.75,"?/100")</t>
  </si>
  <si>
    <t>=TEXT(45351.75,"""$""#,##0.00")</t>
  </si>
  <si>
    <t>=TEXT(45351.75,"#,##0.00;[Red](#,##0.00)")</t>
  </si>
  <si>
    <t>=TEXT(45351.75,"0.0;-0.0;""zero""")</t>
  </si>
  <si>
    <t>=TEXT(45351.75,"0;(0);-")</t>
  </si>
  <si>
    <t>=TEXT(45351.75,"[&gt;=100]0;[&lt;0]""neg"";""small""")</t>
  </si>
  <si>
    <t>=TEXT(45351.75,"#,##0,")</t>
  </si>
  <si>
    <t>=TEXT(45351.75,"0.0,,""M""")</t>
  </si>
  <si>
    <t>=TEXT(45351.75,"000-00-0000")</t>
  </si>
  <si>
    <t>=TEXT(45351.75,"00000")</t>
  </si>
  <si>
    <t>=TEXT(45351.75,"#.##")</t>
  </si>
  <si>
    <t>=TEXT(45351.75,"0.#")</t>
  </si>
  <si>
    <t>=TEXT(45351.75,"?.??")</t>
  </si>
  <si>
    <t>=TEXT(45351.75,"0.00?")</t>
  </si>
  <si>
    <t>=TEXT(45351.75,"#,##0_);(#,##0)")</t>
  </si>
  <si>
    <t>=TEXT(45351.75,"$#,##0")</t>
  </si>
  <si>
    <t>=TEXT(45351.75,"""Total: ""0")</t>
  </si>
  <si>
    <t>=TEXT(45351.75,"0 ""units""")</t>
  </si>
  <si>
    <t>=TEXT(45351.75,"\#0")</t>
  </si>
  <si>
    <t>=TEXT(45351.75,"@")</t>
  </si>
  <si>
    <t>=TEXT(45351.75,"0;@")</t>
  </si>
  <si>
    <t>=TEXT(45351.75,"m/d/yyyy")</t>
  </si>
  <si>
    <t>=TEXT(45351.75,"d-mmm-yy")</t>
  </si>
  <si>
    <t>=TEXT(45351.75,"mmmm d, yyyy")</t>
  </si>
  <si>
    <t>=TEXT(45351.75,"dddd")</t>
  </si>
  <si>
    <t>=TEXT(45351.75,"ddd, mmm d")</t>
  </si>
  <si>
    <t>=TEXT(45351.75,"mmmmm")</t>
  </si>
  <si>
    <t>=TEXT(45351.75,"yy")</t>
  </si>
  <si>
    <t>=TEXT(45351.75,"h:mm")</t>
  </si>
  <si>
    <t>=TEXT(45351.75,"h:mm:ss")</t>
  </si>
  <si>
    <t>=TEXT(45351.75,"h:mm AM/PM")</t>
  </si>
  <si>
    <t>=TEXT(45351.75,"hh:mm:ss a/p")</t>
  </si>
  <si>
    <t>=TEXT(45351.75,"[h]:mm:ss")</t>
  </si>
  <si>
    <t>=TEXT(45351.75,"[mm]:ss")</t>
  </si>
  <si>
    <t>=TEXT(45351.75,"mm:ss.0")</t>
  </si>
  <si>
    <t>=TEXT(45351.75,"h:mm:ss.000")</t>
  </si>
  <si>
    <t>=TEXT(45351.75,"yyyy-mm-dd hh:mm")</t>
  </si>
  <si>
    <t>=TEXT(45351.75,"m/d/yyyy h:mm")</t>
  </si>
  <si>
    <t>=TEXT(45351.75,"[$-409]mmmm d, yyyy")</t>
  </si>
  <si>
    <t>=TEXT(45351.75,"[$€-407] #,##0.00")</t>
  </si>
  <si>
    <t>=TEXT(45351.75,"General"" kg""")</t>
  </si>
  <si>
    <t>=TEXT(45351.75,"0.00_);[Red]-0.00 ")</t>
  </si>
  <si>
    <t>=TEXT(0.99999,"General")</t>
  </si>
  <si>
    <t>=TEXT(0.99999,"0")</t>
  </si>
  <si>
    <t>=TEXT(0.99999,"0.00")</t>
  </si>
  <si>
    <t>=TEXT(0.99999,"#,##0")</t>
  </si>
  <si>
    <t>=TEXT(0.99999,"#,##0.00")</t>
  </si>
  <si>
    <t>=TEXT(0.99999,"#,##0.000")</t>
  </si>
  <si>
    <t>=TEXT(0.99999,"0%")</t>
  </si>
  <si>
    <t>=TEXT(0.99999,"0.00%")</t>
  </si>
  <si>
    <t>=TEXT(0.99999,"0.00E+00")</t>
  </si>
  <si>
    <t>=TEXT(0.99999,"##0.0E+0")</t>
  </si>
  <si>
    <t>=TEXT(0.99999,"0.0E+0")</t>
  </si>
  <si>
    <t>=TEXT(0.99999,"# ?/?")</t>
  </si>
  <si>
    <t>=TEXT(0.99999,"# ??/??")</t>
  </si>
  <si>
    <t>=TEXT(0.99999,"?/?")</t>
  </si>
  <si>
    <t>=TEXT(0.99999,"# ?/8")</t>
  </si>
  <si>
    <t>=TEXT(0.99999,"?/100")</t>
  </si>
  <si>
    <t>=TEXT(0.99999,"""$""#,##0.00")</t>
  </si>
  <si>
    <t>=TEXT(0.99999,"#,##0.00;[Red](#,##0.00)")</t>
  </si>
  <si>
    <t>=TEXT(0.99999,"0.0;-0.0;""zero""")</t>
  </si>
  <si>
    <t>=TEXT(0.99999,"0;(0);-")</t>
  </si>
  <si>
    <t>=TEXT(0.99999,"[&gt;=100]0;[&lt;0]""neg"";""small""")</t>
  </si>
  <si>
    <t>=TEXT(0.99999,"#,##0,")</t>
  </si>
  <si>
    <t>=TEXT(0.99999,"0.0,,""M""")</t>
  </si>
  <si>
    <t>=TEXT(0.99999,"000-00-0000")</t>
  </si>
  <si>
    <t>=TEXT(0.99999,"00000")</t>
  </si>
  <si>
    <t>=TEXT(0.99999,"#.##")</t>
  </si>
  <si>
    <t>=TEXT(0.99999,"0.#")</t>
  </si>
  <si>
    <t>=TEXT(0.99999,"?.??")</t>
  </si>
  <si>
    <t>=TEXT(0.99999,"0.00?")</t>
  </si>
  <si>
    <t>=TEXT(0.99999,"#,##0_);(#,##0)")</t>
  </si>
  <si>
    <t>=TEXT(0.99999,"$#,##0")</t>
  </si>
  <si>
    <t>=TEXT(0.99999,"""Total: ""0")</t>
  </si>
  <si>
    <t>=TEXT(0.99999,"0 ""units""")</t>
  </si>
  <si>
    <t>=TEXT(0.99999,"\#0")</t>
  </si>
  <si>
    <t>=TEXT(0.99999,"@")</t>
  </si>
  <si>
    <t>=TEXT(0.99999,"0;@")</t>
  </si>
  <si>
    <t>=TEXT(0.99999,"m/d/yyyy")</t>
  </si>
  <si>
    <t>=TEXT(0.99999,"d-mmm-yy")</t>
  </si>
  <si>
    <t>=TEXT(0.99999,"mmmm d, yyyy")</t>
  </si>
  <si>
    <t>=TEXT(0.99999,"dddd")</t>
  </si>
  <si>
    <t>=TEXT(0.99999,"ddd, mmm d")</t>
  </si>
  <si>
    <t>=TEXT(0.99999,"mmmmm")</t>
  </si>
  <si>
    <t>=TEXT(0.99999,"yy")</t>
  </si>
  <si>
    <t>=TEXT(0.99999,"h:mm")</t>
  </si>
  <si>
    <t>=TEXT(0.99999,"h:mm:ss")</t>
  </si>
  <si>
    <t>=TEXT(0.99999,"h:mm AM/PM")</t>
  </si>
  <si>
    <t>=TEXT(0.99999,"hh:mm:ss a/p")</t>
  </si>
  <si>
    <t>=TEXT(0.99999,"[h]:mm:ss")</t>
  </si>
  <si>
    <t>=TEXT(0.99999,"[mm]:ss")</t>
  </si>
  <si>
    <t>=TEXT(0.99999,"mm:ss.0")</t>
  </si>
  <si>
    <t>=TEXT(0.99999,"h:mm:ss.000")</t>
  </si>
  <si>
    <t>=TEXT(0.99999,"yyyy-mm-dd hh:mm")</t>
  </si>
  <si>
    <t>=TEXT(0.99999,"m/d/yyyy h:mm")</t>
  </si>
  <si>
    <t>=TEXT(0.99999,"[$-409]mmmm d, yyyy")</t>
  </si>
  <si>
    <t>=TEXT(0.99999,"[$€-407] #,##0.00")</t>
  </si>
  <si>
    <t>=TEXT(0.99999,"General"" kg""")</t>
  </si>
  <si>
    <t>=TEXT(0.99999,"0.00_);[Red]-0.00 ")</t>
  </si>
  <si>
    <t>=TEXT(2.5,"General")</t>
  </si>
  <si>
    <t>=TEXT(2.5,"0")</t>
  </si>
  <si>
    <t>=TEXT(2.5,"0.00")</t>
  </si>
  <si>
    <t>=TEXT(2.5,"#,##0")</t>
  </si>
  <si>
    <t>=TEXT(2.5,"#,##0.00")</t>
  </si>
  <si>
    <t>=TEXT(2.5,"#,##0.000")</t>
  </si>
  <si>
    <t>=TEXT(2.5,"0%")</t>
  </si>
  <si>
    <t>=TEXT(2.5,"0.00%")</t>
  </si>
  <si>
    <t>=TEXT(2.5,"0.00E+00")</t>
  </si>
  <si>
    <t>=TEXT(2.5,"##0.0E+0")</t>
  </si>
  <si>
    <t>=TEXT(2.5,"0.0E+0")</t>
  </si>
  <si>
    <t>=TEXT(2.5,"# ?/?")</t>
  </si>
  <si>
    <t>=TEXT(2.5,"# ??/??")</t>
  </si>
  <si>
    <t>=TEXT(2.5,"?/?")</t>
  </si>
  <si>
    <t>=TEXT(2.5,"# ?/8")</t>
  </si>
  <si>
    <t>=TEXT(2.5,"?/100")</t>
  </si>
  <si>
    <t>=TEXT(2.5,"""$""#,##0.00")</t>
  </si>
  <si>
    <t>=TEXT(2.5,"#,##0.00;[Red](#,##0.00)")</t>
  </si>
  <si>
    <t>=TEXT(2.5,"0.0;-0.0;""zero""")</t>
  </si>
  <si>
    <t>=TEXT(2.5,"0;(0);-")</t>
  </si>
  <si>
    <t>=TEXT(2.5,"[&gt;=100]0;[&lt;0]""neg"";""small""")</t>
  </si>
  <si>
    <t>=TEXT(2.5,"#,##0,")</t>
  </si>
  <si>
    <t>=TEXT(2.5,"0.0,,""M""")</t>
  </si>
  <si>
    <t>=TEXT(2.5,"000-00-0000")</t>
  </si>
  <si>
    <t>=TEXT(2.5,"00000")</t>
  </si>
  <si>
    <t>=TEXT(2.5,"#.##")</t>
  </si>
  <si>
    <t>=TEXT(2.5,"0.#")</t>
  </si>
  <si>
    <t>=TEXT(2.5,"?.??")</t>
  </si>
  <si>
    <t>=TEXT(2.5,"0.00?")</t>
  </si>
  <si>
    <t>=TEXT(2.5,"#,##0_);(#,##0)")</t>
  </si>
  <si>
    <t>=TEXT(2.5,"$#,##0")</t>
  </si>
  <si>
    <t>=TEXT(2.5,"""Total: ""0")</t>
  </si>
  <si>
    <t>=TEXT(2.5,"0 ""units""")</t>
  </si>
  <si>
    <t>=TEXT(2.5,"\#0")</t>
  </si>
  <si>
    <t>=TEXT(2.5,"@")</t>
  </si>
  <si>
    <t>=TEXT(2.5,"0;@")</t>
  </si>
  <si>
    <t>=TEXT(2.5,"m/d/yyyy")</t>
  </si>
  <si>
    <t>=TEXT(2.5,"d-mmm-yy")</t>
  </si>
  <si>
    <t>=TEXT(2.5,"mmmm d, yyyy")</t>
  </si>
  <si>
    <t>=TEXT(2.5,"dddd")</t>
  </si>
  <si>
    <t>=TEXT(2.5,"ddd, mmm d")</t>
  </si>
  <si>
    <t>=TEXT(2.5,"mmmmm")</t>
  </si>
  <si>
    <t>=TEXT(2.5,"yy")</t>
  </si>
  <si>
    <t>=TEXT(2.5,"h:mm")</t>
  </si>
  <si>
    <t>=TEXT(2.5,"h:mm:ss")</t>
  </si>
  <si>
    <t>=TEXT(2.5,"h:mm AM/PM")</t>
  </si>
  <si>
    <t>=TEXT(2.5,"hh:mm:ss a/p")</t>
  </si>
  <si>
    <t>=TEXT(2.5,"[h]:mm:ss")</t>
  </si>
  <si>
    <t>=TEXT(2.5,"[mm]:ss")</t>
  </si>
  <si>
    <t>=TEXT(2.5,"mm:ss.0")</t>
  </si>
  <si>
    <t>=TEXT(2.5,"h:mm:ss.000")</t>
  </si>
  <si>
    <t>=TEXT(2.5,"yyyy-mm-dd hh:mm")</t>
  </si>
  <si>
    <t>=TEXT(2.5,"m/d/yyyy h:mm")</t>
  </si>
  <si>
    <t>=TEXT(2.5,"[$-409]mmmm d, yyyy")</t>
  </si>
  <si>
    <t>=TEXT(2.5,"[$€-407] #,##0.00")</t>
  </si>
  <si>
    <t>=TEXT(2.5,"General"" kg""")</t>
  </si>
  <si>
    <t>=TEXT(2.5,"0.00_);[Red]-0.00 ")</t>
  </si>
  <si>
    <t>apple</t>
  </si>
  <si>
    <t>one</t>
  </si>
  <si>
    <t>abc</t>
  </si>
  <si>
    <t>Banana</t>
  </si>
  <si>
    <t>three</t>
  </si>
  <si>
    <t>cherry</t>
  </si>
  <si>
    <t>five</t>
  </si>
  <si>
    <t>seven</t>
  </si>
  <si>
    <t>date</t>
  </si>
  <si>
    <t>nine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</si>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</sst>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9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t="str" cm="1">
        <f t="array" ref="B2">TEXT(0,"General")</f>
        <v>0</v>
      </c>
    </row>
    <row r="3" spans="1:2" ht="15" x14ac:dyDescent="0.2">
      <c r="A3" t="s">
        <v>3</v>
      </c>
      <c r="B3" t="str" cm="1">
        <f t="array" ref="B3">TEXT(0,"0")</f>
        <v>0</v>
      </c>
    </row>
    <row r="4" spans="1:2" ht="15" x14ac:dyDescent="0.2">
      <c r="A4" t="s">
        <v>4</v>
      </c>
      <c r="B4" t="str" cm="1">
        <f t="array" ref="B4">TEXT(0,"0.00")</f>
        <v>0.00</v>
      </c>
    </row>
    <row r="5" spans="1:2" ht="15" x14ac:dyDescent="0.2">
      <c r="A5" t="s">
        <v>5</v>
      </c>
      <c r="B5" t="str" cm="1">
        <f t="array" ref="B5">TEXT(0,"#,##0")</f>
        <v>0</v>
      </c>
    </row>
    <row r="6" spans="1:2" ht="15" x14ac:dyDescent="0.2">
      <c r="A6" t="s">
        <v>6</v>
      </c>
      <c r="B6" t="str" cm="1">
        <f t="array" ref="B6">TEXT(0,"#,##0.00")</f>
        <v>0.00</v>
      </c>
    </row>
    <row r="7" spans="1:2" ht="15" x14ac:dyDescent="0.2">
      <c r="A7" t="s">
        <v>7</v>
      </c>
      <c r="B7" t="str" cm="1">
        <f t="array" ref="B7">TEXT(0,"#,##0.000")</f>
        <v>0.000</v>
      </c>
    </row>
    <row r="8" spans="1:2" ht="15" x14ac:dyDescent="0.2">
      <c r="A8" t="s">
        <v>8</v>
      </c>
      <c r="B8" t="str" cm="1">
        <f t="array" ref="B8">TEXT(0,"0%")</f>
        <v>0%</v>
      </c>
    </row>
    <row r="9" spans="1:2" ht="15" x14ac:dyDescent="0.2">
      <c r="A9" t="s">
        <v>9</v>
      </c>
      <c r="B9" t="str" cm="1">
        <f t="array" ref="B9">TEXT(0,"0.00%")</f>
        <v>0.00%</v>
      </c>
    </row>
    <row r="10" spans="1:2" ht="15" x14ac:dyDescent="0.2">
      <c r="A10" t="s">
        <v>10</v>
      </c>
      <c r="B10" t="str" cm="1">
        <f t="array" ref="B10">TEXT(0,"0.00E+00")</f>
        <v>0.00E+00</v>
      </c>
    </row>
    <row r="11" spans="1:2" ht="15" x14ac:dyDescent="0.2">
      <c r="A11" t="s">
        <v>11</v>
      </c>
      <c r="B11" t="str" cm="1">
        <f t="array" ref="B11">TEXT(0,"##0.0E+0")</f>
        <v>000.0E+0</v>
      </c>
    </row>
    <row r="12" spans="1:2" ht="15" x14ac:dyDescent="0.2">
      <c r="A12" t="s">
        <v>12</v>
      </c>
      <c r="B12" t="str" cm="1">
        <f t="array" ref="B12">TEXT(0,"0.0E+0")</f>
        <v>0.0E+0</v>
      </c>
    </row>
    <row r="13" spans="1:2" ht="15" x14ac:dyDescent="0.2">
      <c r="A13" t="s">
        <v>13</v>
      </c>
      <c r="B13" t="str" cm="1">
        <f t="array" ref="B13">TEXT(0,"# ?/?")</f>
        <v xml:space="preserve">0    </v>
      </c>
    </row>
    <row r="14" spans="1:2" ht="15" x14ac:dyDescent="0.2">
      <c r="A14" t="s">
        <v>14</v>
      </c>
      <c r="B14" t="str" cm="1">
        <f t="array" ref="B14">TEXT(0,"# ??/??")</f>
        <v xml:space="preserve">0      </v>
      </c>
    </row>
    <row r="15" spans="1:2" ht="15" x14ac:dyDescent="0.2">
      <c r="A15" t="s">
        <v>15</v>
      </c>
      <c r="B15" t="str" cm="1">
        <f t="array" ref="B15">TEXT(0,"?/?")</f>
        <v>0/1</v>
      </c>
    </row>
    <row r="16" spans="1:2" ht="15" x14ac:dyDescent="0.2">
      <c r="A16" t="s">
        <v>16</v>
      </c>
      <c r="B16" t="str" cm="1">
        <f t="array" ref="B16">TEXT(0,"# ?/8")</f>
        <v xml:space="preserve">0    </v>
      </c>
    </row>
    <row r="17" spans="1:2" ht="15" x14ac:dyDescent="0.2">
      <c r="A17" t="s">
        <v>17</v>
      </c>
      <c r="B17" t="str" cm="1">
        <f t="array" ref="B17">TEXT(0,"?/100")</f>
        <v>0/100</v>
      </c>
    </row>
    <row r="18" spans="1:2" ht="15" x14ac:dyDescent="0.2">
      <c r="A18" t="s">
        <v>18</v>
      </c>
      <c r="B18" t="str" cm="1">
        <f t="array" ref="B18">TEXT(0,"""$""#,##0.00")</f>
        <v>$0.00</v>
      </c>
    </row>
    <row r="19" spans="1:2" ht="15" x14ac:dyDescent="0.2">
      <c r="A19" t="s">
        <v>19</v>
      </c>
      <c r="B19" t="str" cm="1">
        <f t="array" ref="B19">TEXT(0,"#,##0.00;[Red](#,##0.00)")</f>
        <v>0.00</v>
      </c>
    </row>
    <row r="20" spans="1:2" ht="15" x14ac:dyDescent="0.2">
      <c r="A20" t="s">
        <v>20</v>
      </c>
      <c r="B20" t="str" cm="1">
        <f t="array" ref="B20">TEXT(0,"0.0;-0.0;""zero""")</f>
        <v>zero</v>
      </c>
    </row>
    <row r="21" spans="1:2" ht="15" x14ac:dyDescent="0.2">
      <c r="A21" t="s">
        <v>21</v>
      </c>
      <c r="B21" t="str" cm="1">
        <f t="array" ref="B21">TEXT(0,"0;(0);-")</f>
        <v>-</v>
      </c>
    </row>
    <row r="22" spans="1:2" ht="15" x14ac:dyDescent="0.2">
      <c r="A22" t="s">
        <v>22</v>
      </c>
      <c r="B22" t="str" cm="1">
        <f t="array" ref="B22">TEXT(0,"[&gt;=100]0;[&lt;0]""neg"";""small""")</f>
        <v>small</v>
      </c>
    </row>
    <row r="23" spans="1:2" ht="15" x14ac:dyDescent="0.2">
      <c r="A23" t="s">
        <v>23</v>
      </c>
      <c r="B23" t="str" cm="1">
        <f t="array" ref="B23">TEXT(0,"#,##0,")</f>
        <v>0</v>
      </c>
    </row>
    <row r="24" spans="1:2" ht="15" x14ac:dyDescent="0.2">
      <c r="A24" t="s">
        <v>24</v>
      </c>
      <c r="B24" t="str" cm="1">
        <f t="array" ref="B24">TEXT(0,"0.0,,""M""")</f>
        <v>0.0M</v>
      </c>
    </row>
    <row r="25" spans="1:2" ht="15" x14ac:dyDescent="0.2">
      <c r="A25" t="s">
        <v>25</v>
      </c>
      <c r="B25" t="str" cm="1">
        <f t="array" ref="B25">TEXT(0,"000-00-0000")</f>
        <v>000-00-0000</v>
      </c>
    </row>
    <row r="26" spans="1:2" ht="15" x14ac:dyDescent="0.2">
      <c r="A26" t="s">
        <v>26</v>
      </c>
      <c r="B26" t="str" cm="1">
        <f t="array" ref="B26">TEXT(0,"00000")</f>
        <v>00000</v>
      </c>
    </row>
    <row r="27" spans="1:2" ht="15" x14ac:dyDescent="0.2">
      <c r="A27" t="s">
        <v>27</v>
      </c>
      <c r="B27" t="str" cm="1">
        <f t="array" ref="B27">TEXT(0,"#.##")</f>
        <v>.</v>
      </c>
    </row>
    <row r="28" spans="1:2" ht="15" x14ac:dyDescent="0.2">
      <c r="A28" t="s">
        <v>28</v>
      </c>
      <c r="B28" t="str" cm="1">
        <f t="array" ref="B28">TEXT(0,"0.#")</f>
        <v>0.</v>
      </c>
    </row>
    <row r="29" spans="1:2" ht="15" x14ac:dyDescent="0.2">
      <c r="A29" t="s">
        <v>29</v>
      </c>
      <c r="B29" t="str" cm="1">
        <f t="array" ref="B29">TEXT(0,"?.??")</f>
        <v xml:space="preserve"> .  </v>
      </c>
    </row>
    <row r="30" spans="1:2" ht="15" x14ac:dyDescent="0.2">
      <c r="A30" t="s">
        <v>30</v>
      </c>
      <c r="B30" t="str" cm="1">
        <f t="array" ref="B30">TEXT(0,"0.00?")</f>
        <v xml:space="preserve">0.00 </v>
      </c>
    </row>
    <row r="31" spans="1:2" ht="15" x14ac:dyDescent="0.2">
      <c r="A31" t="s">
        <v>31</v>
      </c>
      <c r="B31" t="str" cm="1">
        <f t="array" ref="B31">TEXT(0,"#,##0_);(#,##0)")</f>
        <v xml:space="preserve">0 </v>
      </c>
    </row>
    <row r="32" spans="1:2" ht="15" x14ac:dyDescent="0.2">
      <c r="A32" t="s">
        <v>32</v>
      </c>
      <c r="B32" t="str" cm="1">
        <f t="array" ref="B32">TEXT(0,"$#,##0")</f>
        <v>$0</v>
      </c>
    </row>
    <row r="33" spans="1:2" ht="15" x14ac:dyDescent="0.2">
      <c r="A33" t="s">
        <v>33</v>
      </c>
      <c r="B33" t="str" cm="1">
        <f t="array" ref="B33">TEXT(0,"""Total: ""0")</f>
        <v>Total: 0</v>
      </c>
    </row>
    <row r="34" spans="1:2" ht="15" x14ac:dyDescent="0.2">
      <c r="A34" t="s">
        <v>34</v>
      </c>
      <c r="B34" t="str" cm="1">
        <f t="array" ref="B34">TEXT(0,"0 ""units""")</f>
        <v>0 units</v>
      </c>
    </row>
    <row r="35" spans="1:2" ht="15" x14ac:dyDescent="0.2">
      <c r="A35" t="s">
        <v>35</v>
      </c>
      <c r="B35" t="str" cm="1">
        <f t="array" ref="B35">TEXT(0,"\#0")</f>
        <v>#0</v>
      </c>
    </row>
    <row r="36" spans="1:2" ht="15" x14ac:dyDescent="0.2">
      <c r="A36" t="s">
        <v>36</v>
      </c>
      <c r="B36" t="str" cm="1">
        <f t="array" ref="B36">TEXT(0,"@")</f>
        <v>0</v>
      </c>
    </row>
    <row r="37" spans="1:2" ht="15" x14ac:dyDescent="0.2">
      <c r="A37" t="s">
        <v>37</v>
      </c>
      <c r="B37" t="str" cm="1">
        <f t="array" ref="B37">TEXT(0,"0;@")</f>
        <v>0</v>
      </c>
    </row>
    <row r="38" spans="1:2" ht="15" x14ac:dyDescent="0.2">
      <c r="A38" t="s">
        <v>38</v>
      </c>
      <c r="B38" t="str" cm="1">
        <f t="array" ref="B38">TEXT(0,"m/d/yyyy")</f>
        <v>1/0/1900</v>
      </c>
    </row>
    <row r="39" spans="1:2" ht="15" x14ac:dyDescent="0.2">
      <c r="A39" t="s">
        <v>39</v>
      </c>
      <c r="B39" t="str" cm="1">
        <f t="array" ref="B39">TEXT(0,"d-mmm-yy")</f>
        <v>0-Jan-00</v>
      </c>
    </row>
    <row r="40" spans="1:2" ht="15" x14ac:dyDescent="0.2">
      <c r="A40" t="s">
        <v>40</v>
      </c>
      <c r="B40" t="str" cm="1">
        <f t="array" ref="B40">TEXT(0,"mmmm d, yyyy")</f>
        <v>January 0, 1900</v>
      </c>
    </row>
    <row r="41" spans="1:2" ht="15" x14ac:dyDescent="0.2">
      <c r="A41" t="s">
        <v>41</v>
      </c>
      <c r="B41" t="str" cm="1">
        <f t="array" ref="B41">TEXT(0,"dddd")</f>
        <v>Saturday</v>
      </c>
    </row>
    <row r="42" spans="1:2" ht="15" x14ac:dyDescent="0.2">
      <c r="A42" t="s">
        <v>42</v>
      </c>
      <c r="B42" t="str" cm="1">
        <f t="array" ref="B42">TEXT(0,"ddd, mmm d")</f>
        <v>Sat, Jan 0</v>
      </c>
    </row>
    <row r="43" spans="1:2" ht="15" x14ac:dyDescent="0.2">
      <c r="A43" t="s">
        <v>43</v>
      </c>
      <c r="B43" t="str" cm="1">
        <f t="array" ref="B43">TEXT(0,"mmmmm")</f>
        <v>J</v>
      </c>
    </row>
    <row r="44" spans="1:2" ht="15" x14ac:dyDescent="0.2">
      <c r="A44" t="s">
        <v>44</v>
      </c>
      <c r="B44" t="str" cm="1">
        <f t="array" ref="B44">TEXT(0,"yy")</f>
        <v>00</v>
      </c>
    </row>
    <row r="45" spans="1:2" ht="15" x14ac:dyDescent="0.2">
      <c r="A45" t="s">
        <v>45</v>
      </c>
      <c r="B45" t="str" cm="1">
        <f t="array" ref="B45">TEXT(0,"h:mm")</f>
        <v>0:00</v>
      </c>
    </row>
    <row r="46" spans="1:2" ht="15" x14ac:dyDescent="0.2">
      <c r="A46" t="s">
        <v>46</v>
      </c>
      <c r="B46" t="str" cm="1">
        <f t="array" ref="B46">TEXT(0,"h:mm:ss")</f>
        <v>0:00:00</v>
      </c>
    </row>
    <row r="47" spans="1:2" ht="15" x14ac:dyDescent="0.2">
      <c r="A47" t="s">
        <v>47</v>
      </c>
      <c r="B47" t="str" cm="1">
        <f t="array" ref="B47">TEXT(0,"h:mm AM/PM")</f>
        <v>12:00 AM</v>
      </c>
    </row>
    <row r="48" spans="1:2" ht="15" x14ac:dyDescent="0.2">
      <c r="A48" t="s">
        <v>48</v>
      </c>
      <c r="B48" t="str" cm="1">
        <f t="array" ref="B48">TEXT(0,"hh:mm:ss a/p")</f>
        <v>12:00:00 a</v>
      </c>
    </row>
    <row r="49" spans="1:2" ht="15" x14ac:dyDescent="0.2">
      <c r="A49" t="s">
        <v>49</v>
      </c>
      <c r="B49" t="str" cm="1">
        <f t="array" ref="B49">TEXT(0,"[h]:mm:ss")</f>
        <v>0:00:00</v>
      </c>
    </row>
    <row r="50" spans="1:2" ht="15" x14ac:dyDescent="0.2">
      <c r="A50" t="s">
        <v>50</v>
      </c>
      <c r="B50" t="str" cm="1">
        <f t="array" ref="B50">TEXT(0,"[mm]:ss")</f>
        <v>00:00</v>
      </c>
    </row>
    <row r="51" spans="1:2" ht="15" x14ac:dyDescent="0.2">
      <c r="A51" t="s">
        <v>51</v>
      </c>
      <c r="B51" t="str" cm="1">
        <f t="array" ref="B51">TEXT(0,"mm:ss.0")</f>
        <v>00:00.0</v>
      </c>
    </row>
    <row r="52" spans="1:2" ht="15" x14ac:dyDescent="0.2">
      <c r="A52" t="s">
        <v>52</v>
      </c>
      <c r="B52" t="str" cm="1">
        <f t="array" ref="B52">TEXT(0,"h:mm:ss.000")</f>
        <v>0:00:00.000</v>
      </c>
    </row>
    <row r="53" spans="1:2" ht="15" x14ac:dyDescent="0.2">
      <c r="A53" t="s">
        <v>53</v>
      </c>
      <c r="B53" t="str" cm="1">
        <f t="array" ref="B53">TEXT(0,"yyyy-mm-dd hh:mm")</f>
        <v>1900-01-00 00:00</v>
      </c>
    </row>
    <row r="54" spans="1:2" ht="15" x14ac:dyDescent="0.2">
      <c r="A54" t="s">
        <v>54</v>
      </c>
      <c r="B54" t="str" cm="1">
        <f t="array" ref="B54">TEXT(0,"m/d/yyyy h:mm")</f>
        <v>1/0/1900 0:00</v>
      </c>
    </row>
    <row r="55" spans="1:2" ht="15" x14ac:dyDescent="0.2">
      <c r="A55" t="s">
        <v>55</v>
      </c>
      <c r="B55" t="str" cm="1">
        <f t="array" ref="B55">TEXT(0,"[$-409]mmmm d, yyyy")</f>
        <v>January 0, 1900</v>
      </c>
    </row>
    <row r="56" spans="1:2" ht="15" x14ac:dyDescent="0.2">
      <c r="A56" t="s">
        <v>56</v>
      </c>
      <c r="B56" t="str" cm="1">
        <f t="array" ref="B56">TEXT(0,"[$€-407] #,##0.00")</f>
        <v>€ 0.00</v>
      </c>
    </row>
    <row r="57" spans="1:2" ht="15" x14ac:dyDescent="0.2">
      <c r="A57" t="s">
        <v>57</v>
      </c>
      <c r="B57" t="str" cm="1">
        <f t="array" ref="B57">TEXT(0,"General"" kg""")</f>
        <v>0 kg</v>
      </c>
    </row>
    <row r="58" spans="1:2" ht="15" x14ac:dyDescent="0.2">
      <c r="A58" t="s">
        <v>58</v>
      </c>
      <c r="B58" t="str" cm="1">
        <f t="array" ref="B58">TEXT(0,"0.00_);[Red]-0.00 ")</f>
        <v xml:space="preserve">0.00 </v>
      </c>
    </row>
    <row r="59" spans="1:2" ht="15" x14ac:dyDescent="0.2">
      <c r="A59" t="s">
        <v>59</v>
      </c>
      <c r="B59" t="str" cm="1">
        <f t="array" ref="B59">TEXT(1,"General")</f>
        <v>1</v>
      </c>
    </row>
    <row r="60" spans="1:2" ht="15" x14ac:dyDescent="0.2">
      <c r="A60" t="s">
        <v>60</v>
      </c>
      <c r="B60" t="str" cm="1">
        <f t="array" ref="B60">TEXT(1,"0")</f>
        <v>1</v>
      </c>
    </row>
    <row r="61" spans="1:2" ht="15" x14ac:dyDescent="0.2">
      <c r="A61" t="s">
        <v>61</v>
      </c>
      <c r="B61" t="str" cm="1">
        <f t="array" ref="B61">TEXT(1,"0.00")</f>
        <v>1.00</v>
      </c>
    </row>
    <row r="62" spans="1:2" ht="15" x14ac:dyDescent="0.2">
      <c r="A62" t="s">
        <v>62</v>
      </c>
      <c r="B62" t="str" cm="1">
        <f t="array" ref="B62">TEXT(1,"#,##0")</f>
        <v>1</v>
      </c>
    </row>
    <row r="63" spans="1:2" ht="15" x14ac:dyDescent="0.2">
      <c r="A63" t="s">
        <v>63</v>
      </c>
      <c r="B63" t="str" cm="1">
        <f t="array" ref="B63">TEXT(1,"#,##0.00")</f>
        <v>1.00</v>
      </c>
    </row>
    <row r="64" spans="1:2" ht="15" x14ac:dyDescent="0.2">
      <c r="A64" t="s">
        <v>64</v>
      </c>
      <c r="B64" t="str" cm="1">
        <f t="array" ref="B64">TEXT(1,"#,##0.000")</f>
        <v>1.000</v>
      </c>
    </row>
    <row r="65" spans="1:2" ht="15" x14ac:dyDescent="0.2">
      <c r="A65" t="s">
        <v>65</v>
      </c>
      <c r="B65" t="str" cm="1">
        <f t="array" ref="B65">TEXT(1,"0%")</f>
        <v>100%</v>
      </c>
    </row>
    <row r="66" spans="1:2" ht="15" x14ac:dyDescent="0.2">
      <c r="A66" t="s">
        <v>66</v>
      </c>
      <c r="B66" t="str" cm="1">
        <f t="array" ref="B66">TEXT(1,"0.00%")</f>
        <v>100.00%</v>
      </c>
    </row>
    <row r="67" spans="1:2" ht="15" x14ac:dyDescent="0.2">
      <c r="A67" t="s">
        <v>67</v>
      </c>
      <c r="B67" t="str" cm="1">
        <f t="array" ref="B67">TEXT(1,"0.00E+00")</f>
        <v>1.00E+00</v>
      </c>
    </row>
    <row r="68" spans="1:2" ht="15" x14ac:dyDescent="0.2">
      <c r="A68" t="s">
        <v>68</v>
      </c>
      <c r="B68" t="str" cm="1">
        <f t="array" ref="B68">TEXT(1,"##0.0E+0")</f>
        <v>1.0E+0</v>
      </c>
    </row>
    <row r="69" spans="1:2" ht="15" x14ac:dyDescent="0.2">
      <c r="A69" t="s">
        <v>69</v>
      </c>
      <c r="B69" t="str" cm="1">
        <f t="array" ref="B69">TEXT(1,"0.0E+0")</f>
        <v>1.0E+0</v>
      </c>
    </row>
    <row r="70" spans="1:2" ht="15" x14ac:dyDescent="0.2">
      <c r="A70" t="s">
        <v>70</v>
      </c>
      <c r="B70" t="str" cm="1">
        <f t="array" ref="B70">TEXT(1,"# ?/?")</f>
        <v xml:space="preserve">1    </v>
      </c>
    </row>
    <row r="71" spans="1:2" ht="15" x14ac:dyDescent="0.2">
      <c r="A71" t="s">
        <v>71</v>
      </c>
      <c r="B71" t="str" cm="1">
        <f t="array" ref="B71">TEXT(1,"# ??/??")</f>
        <v xml:space="preserve">1      </v>
      </c>
    </row>
    <row r="72" spans="1:2" ht="15" x14ac:dyDescent="0.2">
      <c r="A72" t="s">
        <v>72</v>
      </c>
      <c r="B72" t="str" cm="1">
        <f t="array" ref="B72">TEXT(1,"?/?")</f>
        <v>1/1</v>
      </c>
    </row>
    <row r="73" spans="1:2" ht="15" x14ac:dyDescent="0.2">
      <c r="A73" t="s">
        <v>73</v>
      </c>
      <c r="B73" t="str" cm="1">
        <f t="array" ref="B73">TEXT(1,"# ?/8")</f>
        <v xml:space="preserve">1    </v>
      </c>
    </row>
    <row r="74" spans="1:2" ht="15" x14ac:dyDescent="0.2">
      <c r="A74" t="s">
        <v>74</v>
      </c>
      <c r="B74" t="str" cm="1">
        <f t="array" ref="B74">TEXT(1,"?/100")</f>
        <v>100/100</v>
      </c>
    </row>
    <row r="75" spans="1:2" ht="15" x14ac:dyDescent="0.2">
      <c r="A75" t="s">
        <v>75</v>
      </c>
      <c r="B75" t="str" cm="1">
        <f t="array" ref="B75">TEXT(1,"""$""#,##0.00")</f>
        <v>$1.00</v>
      </c>
    </row>
    <row r="76" spans="1:2" ht="15" x14ac:dyDescent="0.2">
      <c r="A76" t="s">
        <v>76</v>
      </c>
      <c r="B76" t="str" cm="1">
        <f t="array" ref="B76">TEXT(1,"#,##0.00;[Red](#,##0.00)")</f>
        <v>1.00</v>
      </c>
    </row>
    <row r="77" spans="1:2" ht="15" x14ac:dyDescent="0.2">
      <c r="A77" t="s">
        <v>77</v>
      </c>
      <c r="B77" t="str" cm="1">
        <f t="array" ref="B77">TEXT(1,"0.0;-0.0;""zero""")</f>
        <v>1.0</v>
      </c>
    </row>
    <row r="78" spans="1:2" ht="15" x14ac:dyDescent="0.2">
      <c r="A78" t="s">
        <v>78</v>
      </c>
      <c r="B78" t="str" cm="1">
        <f t="array" ref="B78">TEXT(1,"0;(0);-")</f>
        <v>1</v>
      </c>
    </row>
    <row r="79" spans="1:2" ht="15" x14ac:dyDescent="0.2">
      <c r="A79" t="s">
        <v>79</v>
      </c>
      <c r="B79" t="str" cm="1">
        <f t="array" ref="B79">TEXT(1,"[&gt;=100]0;[&lt;0]""neg"";""small""")</f>
        <v>small</v>
      </c>
    </row>
    <row r="80" spans="1:2" ht="15" x14ac:dyDescent="0.2">
      <c r="A80" t="s">
        <v>80</v>
      </c>
      <c r="B80" t="str" cm="1">
        <f t="array" ref="B80">TEXT(1,"#,##0,")</f>
        <v>0</v>
      </c>
    </row>
    <row r="81" spans="1:2" ht="15" x14ac:dyDescent="0.2">
      <c r="A81" t="s">
        <v>81</v>
      </c>
      <c r="B81" t="str" cm="1">
        <f t="array" ref="B81">TEXT(1,"0.0,,""M""")</f>
        <v>0.0M</v>
      </c>
    </row>
    <row r="82" spans="1:2" ht="15" x14ac:dyDescent="0.2">
      <c r="A82" t="s">
        <v>82</v>
      </c>
      <c r="B82" t="str" cm="1">
        <f t="array" ref="B82">TEXT(1,"000-00-0000")</f>
        <v>000-00-0001</v>
      </c>
    </row>
    <row r="83" spans="1:2" ht="15" x14ac:dyDescent="0.2">
      <c r="A83" t="s">
        <v>83</v>
      </c>
      <c r="B83" t="str" cm="1">
        <f t="array" ref="B83">TEXT(1,"00000")</f>
        <v>00001</v>
      </c>
    </row>
    <row r="84" spans="1:2" ht="15" x14ac:dyDescent="0.2">
      <c r="A84" t="s">
        <v>84</v>
      </c>
      <c r="B84" t="str" cm="1">
        <f t="array" ref="B84">TEXT(1,"#.##")</f>
        <v>1.</v>
      </c>
    </row>
    <row r="85" spans="1:2" ht="15" x14ac:dyDescent="0.2">
      <c r="A85" t="s">
        <v>85</v>
      </c>
      <c r="B85" t="str" cm="1">
        <f t="array" ref="B85">TEXT(1,"0.#")</f>
        <v>1.</v>
      </c>
    </row>
    <row r="86" spans="1:2" ht="15" x14ac:dyDescent="0.2">
      <c r="A86" t="s">
        <v>86</v>
      </c>
      <c r="B86" t="str" cm="1">
        <f t="array" ref="B86">TEXT(1,"?.??")</f>
        <v xml:space="preserve">1.  </v>
      </c>
    </row>
    <row r="87" spans="1:2" ht="15" x14ac:dyDescent="0.2">
      <c r="A87" t="s">
        <v>87</v>
      </c>
      <c r="B87" t="str" cm="1">
        <f t="array" ref="B87">TEXT(1,"0.00?")</f>
        <v xml:space="preserve">1.00 </v>
      </c>
    </row>
    <row r="88" spans="1:2" ht="15" x14ac:dyDescent="0.2">
      <c r="A88" t="s">
        <v>88</v>
      </c>
      <c r="B88" t="str" cm="1">
        <f t="array" ref="B88">TEXT(1,"#,##0_);(#,##0)")</f>
        <v xml:space="preserve">1 </v>
      </c>
    </row>
    <row r="89" spans="1:2" ht="15" x14ac:dyDescent="0.2">
      <c r="A89" t="s">
        <v>89</v>
      </c>
      <c r="B89" t="str" cm="1">
        <f t="array" ref="B89">TEXT(1,"$#,##0")</f>
        <v>$1</v>
      </c>
    </row>
    <row r="90" spans="1:2" ht="15" x14ac:dyDescent="0.2">
      <c r="A90" t="s">
        <v>90</v>
      </c>
      <c r="B90" t="str" cm="1">
        <f t="array" ref="B90">TEXT(1,"""Total: ""0")</f>
        <v>Total: 1</v>
      </c>
    </row>
    <row r="91" spans="1:2" ht="15" x14ac:dyDescent="0.2">
      <c r="A91" t="s">
        <v>91</v>
      </c>
      <c r="B91" t="str" cm="1">
        <f t="array" ref="B91">TEXT(1,"0 ""units""")</f>
        <v>1 units</v>
      </c>
    </row>
    <row r="92" spans="1:2" ht="15" x14ac:dyDescent="0.2">
      <c r="A92" t="s">
        <v>92</v>
      </c>
      <c r="B92" t="str" cm="1">
        <f t="array" ref="B92">TEXT(1,"\#0")</f>
        <v>#1</v>
      </c>
    </row>
    <row r="93" spans="1:2" ht="15" x14ac:dyDescent="0.2">
      <c r="A93" t="s">
        <v>93</v>
      </c>
      <c r="B93" t="str" cm="1">
        <f t="array" ref="B93">TEXT(1,"@")</f>
        <v>1</v>
      </c>
    </row>
    <row r="94" spans="1:2" ht="15" x14ac:dyDescent="0.2">
      <c r="A94" t="s">
        <v>94</v>
      </c>
      <c r="B94" t="str" cm="1">
        <f t="array" ref="B94">TEXT(1,"0;@")</f>
        <v>1</v>
      </c>
    </row>
    <row r="95" spans="1:2" ht="15" x14ac:dyDescent="0.2">
      <c r="A95" t="s">
        <v>95</v>
      </c>
      <c r="B95" t="str" cm="1">
        <f t="array" ref="B95">TEXT(1,"m/d/yyyy")</f>
        <v>1/1/1900</v>
      </c>
    </row>
    <row r="96" spans="1:2" ht="15" x14ac:dyDescent="0.2">
      <c r="A96" t="s">
        <v>96</v>
      </c>
      <c r="B96" t="str" cm="1">
        <f t="array" ref="B96">TEXT(1,"d-mmm-yy")</f>
        <v>1-Jan-00</v>
      </c>
    </row>
    <row r="97" spans="1:2" ht="15" x14ac:dyDescent="0.2">
      <c r="A97" t="s">
        <v>97</v>
      </c>
      <c r="B97" t="str" cm="1">
        <f t="array" ref="B97">TEXT(1,"mmmm d, yyyy")</f>
        <v>January 1, 1900</v>
      </c>
    </row>
    <row r="98" spans="1:2" ht="15" x14ac:dyDescent="0.2">
      <c r="A98" t="s">
        <v>98</v>
      </c>
      <c r="B98" t="str" cm="1">
        <f t="array" ref="B98">TEXT(1,"dddd")</f>
        <v>Sunday</v>
      </c>
    </row>
    <row r="99" spans="1:2" ht="15" x14ac:dyDescent="0.2">
      <c r="A99" t="s">
        <v>99</v>
      </c>
      <c r="B99" t="str" cm="1">
        <f t="array" ref="B99">TEXT(1,"ddd, mmm d")</f>
        <v>Sun, Jan 1</v>
      </c>
    </row>
    <row r="100" spans="1:2" ht="15" x14ac:dyDescent="0.2">
      <c r="A100" t="s">
        <v>100</v>
      </c>
      <c r="B100" t="str" cm="1">
        <f t="array" ref="B100">TEXT(1,"mmmmm")</f>
        <v>J</v>
      </c>
    </row>
    <row r="101" spans="1:2" ht="15" x14ac:dyDescent="0.2">
      <c r="A101" t="s">
        <v>101</v>
      </c>
      <c r="B101" t="str" cm="1">
        <f t="array" ref="B101">TEXT(1,"yy")</f>
        <v>00</v>
      </c>
    </row>
    <row r="102" spans="1:2" ht="15" x14ac:dyDescent="0.2">
      <c r="A102" t="s">
        <v>102</v>
      </c>
      <c r="B102" t="str" cm="1">
        <f t="array" ref="B102">TEXT(1,"h:mm")</f>
        <v>0:00</v>
      </c>
    </row>
    <row r="103" spans="1:2" ht="15" x14ac:dyDescent="0.2">
      <c r="A103" t="s">
        <v>103</v>
      </c>
      <c r="B103" t="str" cm="1">
        <f t="array" ref="B103">TEXT(1,"h:mm:ss")</f>
        <v>0:00:00</v>
      </c>
    </row>
    <row r="104" spans="1:2" ht="15" x14ac:dyDescent="0.2">
      <c r="A104" t="s">
        <v>104</v>
      </c>
      <c r="B104" t="str" cm="1">
        <f t="array" ref="B104">TEXT(1,"h:mm AM/PM")</f>
        <v>12:00 AM</v>
      </c>
    </row>
    <row r="105" spans="1:2" ht="15" x14ac:dyDescent="0.2">
      <c r="A105" t="s">
        <v>105</v>
      </c>
      <c r="B105" t="str" cm="1">
        <f t="array" ref="B105">TEXT(1,"hh:mm:ss a/p")</f>
        <v>12:00:00 a</v>
      </c>
    </row>
    <row r="106" spans="1:2" ht="15" x14ac:dyDescent="0.2">
      <c r="A106" t="s">
        <v>106</v>
      </c>
      <c r="B106" t="str" cm="1">
        <f t="array" ref="B106">TEXT(1,"[h]:mm:ss")</f>
        <v>24:00:00</v>
      </c>
    </row>
    <row r="107" spans="1:2" ht="15" x14ac:dyDescent="0.2">
      <c r="A107" t="s">
        <v>107</v>
      </c>
      <c r="B107" t="str" cm="1">
        <f t="array" ref="B107">TEXT(1,"[mm]:ss")</f>
        <v>1440:00</v>
      </c>
    </row>
    <row r="108" spans="1:2" ht="15" x14ac:dyDescent="0.2">
      <c r="A108" t="s">
        <v>108</v>
      </c>
      <c r="B108" t="str" cm="1">
        <f t="array" ref="B108">TEXT(1,"mm:ss.0")</f>
        <v>00:00.0</v>
      </c>
    </row>
    <row r="109" spans="1:2" ht="15" x14ac:dyDescent="0.2">
      <c r="A109" t="s">
        <v>109</v>
      </c>
      <c r="B109" t="str" cm="1">
        <f t="array" ref="B109">TEXT(1,"h:mm:ss.000")</f>
        <v>0:00:00.000</v>
      </c>
    </row>
    <row r="110" spans="1:2" ht="15" x14ac:dyDescent="0.2">
      <c r="A110" t="s">
        <v>110</v>
      </c>
      <c r="B110" t="str" cm="1">
        <f t="array" ref="B110">TEXT(1,"yyyy-mm-dd hh:mm")</f>
        <v>1900-01-01 00:00</v>
      </c>
    </row>
    <row r="111" spans="1:2" ht="15" x14ac:dyDescent="0.2">
      <c r="A111" t="s">
        <v>111</v>
      </c>
      <c r="B111" t="str" cm="1">
        <f t="array" ref="B111">TEXT(1,"m/d/yyyy h:mm")</f>
        <v>1/1/1900 0:00</v>
      </c>
    </row>
    <row r="112" spans="1:2" ht="15" x14ac:dyDescent="0.2">
      <c r="A112" t="s">
        <v>112</v>
      </c>
      <c r="B112" t="str" cm="1">
        <f t="array" ref="B112">TEXT(1,"[$-409]mmmm d, yyyy")</f>
        <v>January 1, 1900</v>
      </c>
    </row>
    <row r="113" spans="1:2" ht="15" x14ac:dyDescent="0.2">
      <c r="A113" t="s">
        <v>113</v>
      </c>
      <c r="B113" t="str" cm="1">
        <f t="array" ref="B113">TEXT(1,"[$€-407] #,##0.00")</f>
        <v>€ 1.00</v>
      </c>
    </row>
    <row r="114" spans="1:2" ht="15" x14ac:dyDescent="0.2">
      <c r="A114" t="s">
        <v>114</v>
      </c>
      <c r="B114" t="str" cm="1">
        <f t="array" ref="B114">TEXT(1,"General"" kg""")</f>
        <v>1 kg</v>
      </c>
    </row>
    <row r="115" spans="1:2" ht="15" x14ac:dyDescent="0.2">
      <c r="A115" t="s">
        <v>115</v>
      </c>
      <c r="B115" t="str" cm="1">
        <f t="array" ref="B115">TEXT(1,"0.00_);[Red]-0.00 ")</f>
        <v xml:space="preserve">1.00 </v>
      </c>
    </row>
    <row r="116" spans="1:2" ht="15" x14ac:dyDescent="0.2">
      <c r="A116" t="s">
        <v>116</v>
      </c>
      <c r="B116" t="str" cm="1">
        <f t="array" ref="B116">TEXT(-1,"General")</f>
        <v>-1</v>
      </c>
    </row>
    <row r="117" spans="1:2" ht="15" x14ac:dyDescent="0.2">
      <c r="A117" t="s">
        <v>117</v>
      </c>
      <c r="B117" t="str" cm="1">
        <f t="array" ref="B117">TEXT(-1,"0")</f>
        <v>-1</v>
      </c>
    </row>
    <row r="118" spans="1:2" ht="15" x14ac:dyDescent="0.2">
      <c r="A118" t="s">
        <v>118</v>
      </c>
      <c r="B118" t="str" cm="1">
        <f t="array" ref="B118">TEXT(-1,"0.00")</f>
        <v>-1.00</v>
      </c>
    </row>
    <row r="119" spans="1:2" ht="15" x14ac:dyDescent="0.2">
      <c r="A119" t="s">
        <v>119</v>
      </c>
      <c r="B119" t="str" cm="1">
        <f t="array" ref="B119">TEXT(-1,"#,##0")</f>
        <v>-1</v>
      </c>
    </row>
    <row r="120" spans="1:2" ht="15" x14ac:dyDescent="0.2">
      <c r="A120" t="s">
        <v>120</v>
      </c>
      <c r="B120" t="str" cm="1">
        <f t="array" ref="B120">TEXT(-1,"#,##0.00")</f>
        <v>-1.00</v>
      </c>
    </row>
    <row r="121" spans="1:2" ht="15" x14ac:dyDescent="0.2">
      <c r="A121" t="s">
        <v>121</v>
      </c>
      <c r="B121" t="str" cm="1">
        <f t="array" ref="B121">TEXT(-1,"#,##0.000")</f>
        <v>-1.000</v>
      </c>
    </row>
    <row r="122" spans="1:2" ht="15" x14ac:dyDescent="0.2">
      <c r="A122" t="s">
        <v>122</v>
      </c>
      <c r="B122" t="str" cm="1">
        <f t="array" ref="B122">TEXT(-1,"0%")</f>
        <v>-100%</v>
      </c>
    </row>
    <row r="123" spans="1:2" ht="15" x14ac:dyDescent="0.2">
      <c r="A123" t="s">
        <v>123</v>
      </c>
      <c r="B123" t="str" cm="1">
        <f t="array" ref="B123">TEXT(-1,"0.00%")</f>
        <v>-100.00%</v>
      </c>
    </row>
    <row r="124" spans="1:2" ht="15" x14ac:dyDescent="0.2">
      <c r="A124" t="s">
        <v>124</v>
      </c>
      <c r="B124" t="str" cm="1">
        <f t="array" ref="B124">TEXT(-1,"0.00E+00")</f>
        <v>-1.00E+00</v>
      </c>
    </row>
    <row r="125" spans="1:2" ht="15" x14ac:dyDescent="0.2">
      <c r="A125" t="s">
        <v>125</v>
      </c>
      <c r="B125" t="str" cm="1">
        <f t="array" ref="B125">TEXT(-1,"##0.0E+0")</f>
        <v>-1.0E+0</v>
      </c>
    </row>
    <row r="126" spans="1:2" ht="15" x14ac:dyDescent="0.2">
      <c r="A126" t="s">
        <v>126</v>
      </c>
      <c r="B126" t="str" cm="1">
        <f t="array" ref="B126">TEXT(-1,"0.0E+0")</f>
        <v>-1.0E+0</v>
      </c>
    </row>
    <row r="127" spans="1:2" ht="15" x14ac:dyDescent="0.2">
      <c r="A127" t="s">
        <v>127</v>
      </c>
      <c r="B127" t="str" cm="1">
        <f t="array" ref="B127">TEXT(-1,"# ?/?")</f>
        <v xml:space="preserve">-1    </v>
      </c>
    </row>
    <row r="128" spans="1:2" ht="15" x14ac:dyDescent="0.2">
      <c r="A128" t="s">
        <v>128</v>
      </c>
      <c r="B128" t="str" cm="1">
        <f t="array" ref="B128">TEXT(-1,"# ??/??")</f>
        <v xml:space="preserve">-1      </v>
      </c>
    </row>
    <row r="129" spans="1:2" ht="15" x14ac:dyDescent="0.2">
      <c r="A129" t="s">
        <v>129</v>
      </c>
      <c r="B129" t="str" cm="1">
        <f t="array" ref="B129">TEXT(-1,"?/?")</f>
        <v>-1/1</v>
      </c>
    </row>
    <row r="130" spans="1:2" ht="15" x14ac:dyDescent="0.2">
      <c r="A130" t="s">
        <v>130</v>
      </c>
      <c r="B130" t="str" cm="1">
        <f t="array" ref="B130">TEXT(-1,"# ?/8")</f>
        <v xml:space="preserve">-1    </v>
      </c>
    </row>
    <row r="131" spans="1:2" ht="15" x14ac:dyDescent="0.2">
      <c r="A131" t="s">
        <v>131</v>
      </c>
      <c r="B131" t="str" cm="1">
        <f t="array" ref="B131">TEXT(-1,"?/100")</f>
        <v>-100/100</v>
      </c>
    </row>
    <row r="132" spans="1:2" ht="15" x14ac:dyDescent="0.2">
      <c r="A132" t="s">
        <v>132</v>
      </c>
      <c r="B132" t="str" cm="1">
        <f t="array" ref="B132">TEXT(-1,"""$""#,##0.00")</f>
        <v>-$1.00</v>
      </c>
    </row>
    <row r="133" spans="1:2" ht="15" x14ac:dyDescent="0.2">
      <c r="A133" t="s">
        <v>133</v>
      </c>
      <c r="B133" t="str" cm="1">
        <f t="array" ref="B133">TEXT(-1,"#,##0.00;[Red](#,##0.00)")</f>
        <v>(1.00)</v>
      </c>
    </row>
    <row r="134" spans="1:2" ht="15" x14ac:dyDescent="0.2">
      <c r="A134" t="s">
        <v>134</v>
      </c>
      <c r="B134" t="str" cm="1">
        <f t="array" ref="B134">TEXT(-1,"0.0;-0.0;""zero""")</f>
        <v>-1.0</v>
      </c>
    </row>
    <row r="135" spans="1:2" ht="15" x14ac:dyDescent="0.2">
      <c r="A135" t="s">
        <v>135</v>
      </c>
      <c r="B135" t="str" cm="1">
        <f t="array" ref="B135">TEXT(-1,"0;(0);-")</f>
        <v>(1)</v>
      </c>
    </row>
    <row r="136" spans="1:2" ht="15" x14ac:dyDescent="0.2">
      <c r="A136" t="s">
        <v>136</v>
      </c>
      <c r="B136" t="str" cm="1">
        <f t="array" ref="B136">TEXT(-1,"[&gt;=100]0;[&lt;0]""neg"";""small""")</f>
        <v>neg</v>
      </c>
    </row>
    <row r="137" spans="1:2" ht="15" x14ac:dyDescent="0.2">
      <c r="A137" t="s">
        <v>137</v>
      </c>
      <c r="B137" t="str" cm="1">
        <f t="array" ref="B137">TEXT(-1,"#,##0,")</f>
        <v>0</v>
      </c>
    </row>
    <row r="138" spans="1:2" ht="15" x14ac:dyDescent="0.2">
      <c r="A138" t="s">
        <v>138</v>
      </c>
      <c r="B138" t="str" cm="1">
        <f t="array" ref="B138">TEXT(-1,"0.0,,""M""")</f>
        <v>0.0M</v>
      </c>
    </row>
    <row r="139" spans="1:2" ht="15" x14ac:dyDescent="0.2">
      <c r="A139" t="s">
        <v>139</v>
      </c>
      <c r="B139" t="str" cm="1">
        <f t="array" ref="B139">TEXT(-1,"000-00-0000")</f>
        <v>-000-00-0001</v>
      </c>
    </row>
    <row r="140" spans="1:2" ht="15" x14ac:dyDescent="0.2">
      <c r="A140" t="s">
        <v>140</v>
      </c>
      <c r="B140" t="str" cm="1">
        <f t="array" ref="B140">TEXT(-1,"00000")</f>
        <v>-00001</v>
      </c>
    </row>
    <row r="141" spans="1:2" ht="15" x14ac:dyDescent="0.2">
      <c r="A141" t="s">
        <v>141</v>
      </c>
      <c r="B141" t="str" cm="1">
        <f t="array" ref="B141">TEXT(-1,"#.##")</f>
        <v>-1.</v>
      </c>
    </row>
    <row r="142" spans="1:2" ht="15" x14ac:dyDescent="0.2">
      <c r="A142" t="s">
        <v>142</v>
      </c>
      <c r="B142" t="str" cm="1">
        <f t="array" ref="B142">TEXT(-1,"0.#")</f>
        <v>-1.</v>
      </c>
    </row>
    <row r="143" spans="1:2" ht="15" x14ac:dyDescent="0.2">
      <c r="A143" t="s">
        <v>143</v>
      </c>
      <c r="B143" t="str" cm="1">
        <f t="array" ref="B143">TEXT(-1,"?.??")</f>
        <v xml:space="preserve">-1.  </v>
      </c>
    </row>
    <row r="144" spans="1:2" ht="15" x14ac:dyDescent="0.2">
      <c r="A144" t="s">
        <v>144</v>
      </c>
      <c r="B144" t="str" cm="1">
        <f t="array" ref="B144">TEXT(-1,"0.00?")</f>
        <v xml:space="preserve">-1.00 </v>
      </c>
    </row>
    <row r="145" spans="1:2" ht="15" x14ac:dyDescent="0.2">
      <c r="A145" t="s">
        <v>145</v>
      </c>
      <c r="B145" t="str" cm="1">
        <f t="array" ref="B145">TEXT(-1,"#,##0_);(#,##0)")</f>
        <v>(1)</v>
      </c>
    </row>
    <row r="146" spans="1:2" ht="15" x14ac:dyDescent="0.2">
      <c r="A146" t="s">
        <v>146</v>
      </c>
      <c r="B146" t="str" cm="1">
        <f t="array" ref="B146">TEXT(-1,"$#,##0")</f>
        <v>-$1</v>
      </c>
    </row>
    <row r="147" spans="1:2" ht="15" x14ac:dyDescent="0.2">
      <c r="A147" t="s">
        <v>147</v>
      </c>
      <c r="B147" t="str" cm="1">
        <f t="array" ref="B147">TEXT(-1,"""Total: ""0")</f>
        <v>-Total: 1</v>
      </c>
    </row>
    <row r="148" spans="1:2" ht="15" x14ac:dyDescent="0.2">
      <c r="A148" t="s">
        <v>148</v>
      </c>
      <c r="B148" t="str" cm="1">
        <f t="array" ref="B148">TEXT(-1,"0 ""units""")</f>
        <v>-1 units</v>
      </c>
    </row>
    <row r="149" spans="1:2" ht="15" x14ac:dyDescent="0.2">
      <c r="A149" t="s">
        <v>149</v>
      </c>
      <c r="B149" t="str" cm="1">
        <f t="array" ref="B149">TEXT(-1,"\#0")</f>
        <v>-#1</v>
      </c>
    </row>
    <row r="150" spans="1:2" ht="15" x14ac:dyDescent="0.2">
      <c r="A150" t="s">
        <v>150</v>
      </c>
      <c r="B150" t="str" cm="1">
        <f t="array" ref="B150">TEXT(-1,"@")</f>
        <v>-1</v>
      </c>
    </row>
    <row r="151" spans="1:2" ht="15" x14ac:dyDescent="0.2">
      <c r="A151" t="s">
        <v>151</v>
      </c>
      <c r="B151" t="str" cm="1">
        <f t="array" ref="B151">TEXT(-1,"0;@")</f>
        <v>-1</v>
      </c>
    </row>
    <row r="152" spans="1:2" ht="15" x14ac:dyDescent="0.2">
      <c r="A152" t="s">
        <v>152</v>
      </c>
      <c r="B152" t="e" cm="1">
        <f t="array" ref="B152">TEXT(-1,"m/d/yyyy")</f>
        <v>#VALUE!</v>
      </c>
    </row>
    <row r="153" spans="1:2" ht="15" x14ac:dyDescent="0.2">
      <c r="A153" t="s">
        <v>153</v>
      </c>
      <c r="B153" t="e" cm="1">
        <f t="array" ref="B153">TEXT(-1,"d-mmm-yy")</f>
        <v>#VALUE!</v>
      </c>
    </row>
    <row r="154" spans="1:2" ht="15" x14ac:dyDescent="0.2">
      <c r="A154" t="s">
        <v>154</v>
      </c>
      <c r="B154" t="e" cm="1">
        <f t="array" ref="B154">TEXT(-1,"mmmm d, yyyy")</f>
        <v>#VALUE!</v>
      </c>
    </row>
    <row r="155" spans="1:2" ht="15" x14ac:dyDescent="0.2">
      <c r="A155" t="s">
        <v>155</v>
      </c>
      <c r="B155" t="e" cm="1">
        <f t="array" ref="B155">TEXT(-1,"dddd")</f>
        <v>#VALUE!</v>
      </c>
    </row>
    <row r="156" spans="1:2" ht="15" x14ac:dyDescent="0.2">
      <c r="A156" t="s">
        <v>156</v>
      </c>
      <c r="B156" t="e" cm="1">
        <f t="array" ref="B156">TEXT(-1,"ddd, mmm d")</f>
        <v>#VALUE!</v>
      </c>
    </row>
    <row r="157" spans="1:2" ht="15" x14ac:dyDescent="0.2">
      <c r="A157" t="s">
        <v>157</v>
      </c>
      <c r="B157" t="e" cm="1">
        <f t="array" ref="B157">TEXT(-1,"mmmmm")</f>
        <v>#VALUE!</v>
      </c>
    </row>
    <row r="158" spans="1:2" ht="15" x14ac:dyDescent="0.2">
      <c r="A158" t="s">
        <v>158</v>
      </c>
      <c r="B158" t="e" cm="1">
        <f t="array" ref="B158">TEXT(-1,"yy")</f>
        <v>#VALUE!</v>
      </c>
    </row>
    <row r="159" spans="1:2" ht="15" x14ac:dyDescent="0.2">
      <c r="A159" t="s">
        <v>159</v>
      </c>
      <c r="B159" t="e" cm="1">
        <f t="array" ref="B159">TEXT(-1,"h:mm")</f>
        <v>#VALUE!</v>
      </c>
    </row>
    <row r="160" spans="1:2" ht="15" x14ac:dyDescent="0.2">
      <c r="A160" t="s">
        <v>160</v>
      </c>
      <c r="B160" t="e" cm="1">
        <f t="array" ref="B160">TEXT(-1,"h:mm:ss")</f>
        <v>#VALUE!</v>
      </c>
    </row>
    <row r="161" spans="1:2" ht="15" x14ac:dyDescent="0.2">
      <c r="A161" t="s">
        <v>161</v>
      </c>
      <c r="B161" t="e" cm="1">
        <f t="array" ref="B161">TEXT(-1,"h:mm AM/PM")</f>
        <v>#VALUE!</v>
      </c>
    </row>
    <row r="162" spans="1:2" ht="15" x14ac:dyDescent="0.2">
      <c r="A162" t="s">
        <v>162</v>
      </c>
      <c r="B162" t="e" cm="1">
        <f t="array" ref="B162">TEXT(-1,"hh:mm:ss a/p")</f>
        <v>#VALUE!</v>
      </c>
    </row>
    <row r="163" spans="1:2" ht="15" x14ac:dyDescent="0.2">
      <c r="A163" t="s">
        <v>163</v>
      </c>
      <c r="B163" t="e" cm="1">
        <f t="array" ref="B163">TEXT(-1,"[h]:mm:ss")</f>
        <v>#VALUE!</v>
      </c>
    </row>
    <row r="164" spans="1:2" ht="15" x14ac:dyDescent="0.2">
      <c r="A164" t="s">
        <v>164</v>
      </c>
      <c r="B164" t="e" cm="1">
        <f t="array" ref="B164">TEXT(-1,"[mm]:ss")</f>
        <v>#VALUE!</v>
      </c>
    </row>
    <row r="165" spans="1:2" ht="15" x14ac:dyDescent="0.2">
      <c r="A165" t="s">
        <v>165</v>
      </c>
      <c r="B165" t="e" cm="1">
        <f t="array" ref="B165">TEXT(-1,"mm:ss.0")</f>
        <v>#VALUE!</v>
      </c>
    </row>
    <row r="166" spans="1:2" ht="15" x14ac:dyDescent="0.2">
      <c r="A166" t="s">
        <v>166</v>
      </c>
      <c r="B166" t="e" cm="1">
        <f t="array" ref="B166">TEXT(-1,"h:mm:ss.000")</f>
        <v>#VALUE!</v>
      </c>
    </row>
    <row r="167" spans="1:2" ht="15" x14ac:dyDescent="0.2">
      <c r="A167" t="s">
        <v>167</v>
      </c>
      <c r="B167" t="e" cm="1">
        <f t="array" ref="B167">TEXT(-1,"yyyy-mm-dd hh:mm")</f>
        <v>#VALUE!</v>
      </c>
    </row>
    <row r="168" spans="1:2" ht="15" x14ac:dyDescent="0.2">
      <c r="A168" t="s">
        <v>168</v>
      </c>
      <c r="B168" t="e" cm="1">
        <f t="array" ref="B168">TEXT(-1,"m/d/yyyy h:mm")</f>
        <v>#VALUE!</v>
      </c>
    </row>
    <row r="169" spans="1:2" ht="15" x14ac:dyDescent="0.2">
      <c r="A169" t="s">
        <v>169</v>
      </c>
      <c r="B169" t="e" cm="1">
        <f t="array" ref="B169">TEXT(-1,"[$-409]mmmm d, yyyy")</f>
        <v>#VALUE!</v>
      </c>
    </row>
    <row r="170" spans="1:2" ht="15" x14ac:dyDescent="0.2">
      <c r="A170" t="s">
        <v>170</v>
      </c>
      <c r="B170" t="str" cm="1">
        <f t="array" ref="B170">TEXT(-1,"[$€-407] #,##0.00")</f>
        <v>-€ 1.00</v>
      </c>
    </row>
    <row r="171" spans="1:2" ht="15" x14ac:dyDescent="0.2">
      <c r="A171" t="s">
        <v>171</v>
      </c>
      <c r="B171" t="str" cm="1">
        <f t="array" ref="B171">TEXT(-1,"General"" kg""")</f>
        <v>-1 kg</v>
      </c>
    </row>
    <row r="172" spans="1:2" ht="15" x14ac:dyDescent="0.2">
      <c r="A172" t="s">
        <v>172</v>
      </c>
      <c r="B172" t="str" cm="1">
        <f t="array" ref="B172">TEXT(-1,"0.00_);[Red]-0.00 ")</f>
        <v xml:space="preserve">-1.00 </v>
      </c>
    </row>
    <row r="173" spans="1:2" ht="15" x14ac:dyDescent="0.2">
      <c r="A173" t="s">
        <v>173</v>
      </c>
      <c r="B173" t="str" cm="1">
        <f t="array" ref="B173">TEXT(0.5,"General")</f>
        <v>0.5</v>
      </c>
    </row>
    <row r="174" spans="1:2" ht="15" x14ac:dyDescent="0.2">
      <c r="A174" t="s">
        <v>174</v>
      </c>
      <c r="B174" t="str" cm="1">
        <f t="array" ref="B174">TEXT(0.5,"0")</f>
        <v>1</v>
      </c>
    </row>
    <row r="175" spans="1:2" ht="15" x14ac:dyDescent="0.2">
      <c r="A175" t="s">
        <v>175</v>
      </c>
      <c r="B175" t="str" cm="1">
        <f t="array" ref="B175">TEXT(0.5,"0.00")</f>
        <v>0.50</v>
      </c>
    </row>
    <row r="176" spans="1:2" ht="15" x14ac:dyDescent="0.2">
      <c r="A176" t="s">
        <v>176</v>
      </c>
      <c r="B176" t="str" cm="1">
        <f t="array" ref="B176">TEXT(0.5,"#,##0")</f>
        <v>1</v>
      </c>
    </row>
    <row r="177" spans="1:2" ht="15" x14ac:dyDescent="0.2">
      <c r="A177" t="s">
        <v>177</v>
      </c>
      <c r="B177" t="str" cm="1">
        <f t="array" ref="B177">TEXT(0.5,"#,##0.00")</f>
        <v>0.50</v>
      </c>
    </row>
    <row r="178" spans="1:2" ht="15" x14ac:dyDescent="0.2">
      <c r="A178" t="s">
        <v>178</v>
      </c>
      <c r="B178" t="str" cm="1">
        <f t="array" ref="B178">TEXT(0.5,"#,##0.000")</f>
        <v>0.500</v>
      </c>
    </row>
    <row r="179" spans="1:2" ht="15" x14ac:dyDescent="0.2">
      <c r="A179" t="s">
        <v>179</v>
      </c>
      <c r="B179" t="str" cm="1">
        <f t="array" ref="B179">TEXT(0.5,"0%")</f>
        <v>50%</v>
      </c>
    </row>
    <row r="180" spans="1:2" ht="15" x14ac:dyDescent="0.2">
      <c r="A180" t="s">
        <v>180</v>
      </c>
      <c r="B180" t="str" cm="1">
        <f t="array" ref="B180">TEXT(0.5,"0.00%")</f>
        <v>50.00%</v>
      </c>
    </row>
    <row r="181" spans="1:2" ht="15" x14ac:dyDescent="0.2">
      <c r="A181" t="s">
        <v>181</v>
      </c>
      <c r="B181" t="str" cm="1">
        <f t="array" ref="B181">TEXT(0.5,"0.00E+00")</f>
        <v>5.00E-01</v>
      </c>
    </row>
    <row r="182" spans="1:2" ht="15" x14ac:dyDescent="0.2">
      <c r="A182" t="s">
        <v>182</v>
      </c>
      <c r="B182" t="str" cm="1">
        <f t="array" ref="B182">TEXT(0.5,"##0.0E+0")</f>
        <v>500.0E-3</v>
      </c>
    </row>
    <row r="183" spans="1:2" ht="15" x14ac:dyDescent="0.2">
      <c r="A183" t="s">
        <v>183</v>
      </c>
      <c r="B183" t="str" cm="1">
        <f t="array" ref="B183">TEXT(0.5,"0.0E+0")</f>
        <v>5.0E-1</v>
      </c>
    </row>
    <row r="184" spans="1:2" ht="15" x14ac:dyDescent="0.2">
      <c r="A184" t="s">
        <v>184</v>
      </c>
      <c r="B184" t="str" cm="1">
        <f t="array" ref="B184">TEXT(0.5,"# ?/?")</f>
        <v xml:space="preserve"> 1/2</v>
      </c>
    </row>
    <row r="185" spans="1:2" ht="15" x14ac:dyDescent="0.2">
      <c r="A185" t="s">
        <v>185</v>
      </c>
      <c r="B185" t="str" cm="1">
        <f t="array" ref="B185">TEXT(0.5,"# ??/??")</f>
        <v xml:space="preserve">  1/2 </v>
      </c>
    </row>
    <row r="186" spans="1:2" ht="15" x14ac:dyDescent="0.2">
      <c r="A186" t="s">
        <v>186</v>
      </c>
      <c r="B186" t="str" cm="1">
        <f t="array" ref="B186">TEXT(0.5,"?/?")</f>
        <v>1/2</v>
      </c>
    </row>
    <row r="187" spans="1:2" ht="15" x14ac:dyDescent="0.2">
      <c r="A187" t="s">
        <v>187</v>
      </c>
      <c r="B187" t="str" cm="1">
        <f t="array" ref="B187">TEXT(0.5,"# ?/8")</f>
        <v xml:space="preserve"> 4/8</v>
      </c>
    </row>
    <row r="188" spans="1:2" ht="15" x14ac:dyDescent="0.2">
      <c r="A188" t="s">
        <v>188</v>
      </c>
      <c r="B188" t="str" cm="1">
        <f t="array" ref="B188">TEXT(0.5,"?/100")</f>
        <v>50/100</v>
      </c>
    </row>
    <row r="189" spans="1:2" ht="15" x14ac:dyDescent="0.2">
      <c r="A189" t="s">
        <v>189</v>
      </c>
      <c r="B189" t="str" cm="1">
        <f t="array" ref="B189">TEXT(0.5,"""$""#,##0.00")</f>
        <v>$0.50</v>
      </c>
    </row>
    <row r="190" spans="1:2" ht="15" x14ac:dyDescent="0.2">
      <c r="A190" t="s">
        <v>190</v>
      </c>
      <c r="B190" t="str" cm="1">
        <f t="array" ref="B190">TEXT(0.5,"#,##0.00;[Red](#,##0.00)")</f>
        <v>0.50</v>
      </c>
    </row>
    <row r="191" spans="1:2" ht="15" x14ac:dyDescent="0.2">
      <c r="A191" t="s">
        <v>191</v>
      </c>
      <c r="B191" t="str" cm="1">
        <f t="array" ref="B191">TEXT(0.5,"0.0;-0.0;""zero""")</f>
        <v>0.5</v>
      </c>
    </row>
    <row r="192" spans="1:2" ht="15" x14ac:dyDescent="0.2">
      <c r="A192" t="s">
        <v>192</v>
      </c>
      <c r="B192" t="str" cm="1">
        <f t="array" ref="B192">TEXT(0.5,"0;(0);-")</f>
        <v>1</v>
      </c>
    </row>
    <row r="193" spans="1:2" ht="15" x14ac:dyDescent="0.2">
      <c r="A193" t="s">
        <v>193</v>
      </c>
      <c r="B193" t="str" cm="1">
        <f t="array" ref="B193">TEXT(0.5,"[&gt;=100]0;[&lt;0]""neg"";""small""")</f>
        <v>small</v>
      </c>
    </row>
    <row r="194" spans="1:2" ht="15" x14ac:dyDescent="0.2">
      <c r="A194" t="s">
        <v>194</v>
      </c>
      <c r="B194" t="str" cm="1">
        <f t="array" ref="B194">TEXT(0.5,"#,##0,")</f>
        <v>0</v>
      </c>
    </row>
    <row r="195" spans="1:2" ht="15" x14ac:dyDescent="0.2">
      <c r="A195" t="s">
        <v>195</v>
      </c>
      <c r="B195" t="str" cm="1">
        <f t="array" ref="B195">TEXT(0.5,"0.0,,""M""")</f>
        <v>0.0M</v>
      </c>
    </row>
    <row r="196" spans="1:2" ht="15" x14ac:dyDescent="0.2">
      <c r="A196" t="s">
        <v>196</v>
      </c>
      <c r="B196" t="str" cm="1">
        <f t="array" ref="B196">TEXT(0.5,"000-00-0000")</f>
        <v>000-00-0001</v>
      </c>
    </row>
    <row r="197" spans="1:2" ht="15" x14ac:dyDescent="0.2">
      <c r="A197" t="s">
        <v>197</v>
      </c>
      <c r="B197" t="str" cm="1">
        <f t="array" ref="B197">TEXT(0.5,"00000")</f>
        <v>00001</v>
      </c>
    </row>
    <row r="198" spans="1:2" ht="15" x14ac:dyDescent="0.2">
      <c r="A198" t="s">
        <v>198</v>
      </c>
      <c r="B198" t="str" cm="1">
        <f t="array" ref="B198">TEXT(0.5,"#.##")</f>
        <v>.5</v>
      </c>
    </row>
    <row r="199" spans="1:2" ht="15" x14ac:dyDescent="0.2">
      <c r="A199" t="s">
        <v>199</v>
      </c>
      <c r="B199" t="str" cm="1">
        <f t="array" ref="B199">TEXT(0.5,"0.#")</f>
        <v>0.5</v>
      </c>
    </row>
    <row r="200" spans="1:2" ht="15" x14ac:dyDescent="0.2">
      <c r="A200" t="s">
        <v>200</v>
      </c>
      <c r="B200" t="str" cm="1">
        <f t="array" ref="B200">TEXT(0.5,"?.??")</f>
        <v xml:space="preserve"> .5 </v>
      </c>
    </row>
    <row r="201" spans="1:2" ht="15" x14ac:dyDescent="0.2">
      <c r="A201" t="s">
        <v>201</v>
      </c>
      <c r="B201" t="str" cm="1">
        <f t="array" ref="B201">TEXT(0.5,"0.00?")</f>
        <v xml:space="preserve">0.50 </v>
      </c>
    </row>
    <row r="202" spans="1:2" ht="15" x14ac:dyDescent="0.2">
      <c r="A202" t="s">
        <v>202</v>
      </c>
      <c r="B202" t="str" cm="1">
        <f t="array" ref="B202">TEXT(0.5,"#,##0_);(#,##0)")</f>
        <v xml:space="preserve">1 </v>
      </c>
    </row>
    <row r="203" spans="1:2" ht="15" x14ac:dyDescent="0.2">
      <c r="A203" t="s">
        <v>203</v>
      </c>
      <c r="B203" t="str" cm="1">
        <f t="array" ref="B203">TEXT(0.5,"$#,##0")</f>
        <v>$1</v>
      </c>
    </row>
    <row r="204" spans="1:2" ht="15" x14ac:dyDescent="0.2">
      <c r="A204" t="s">
        <v>204</v>
      </c>
      <c r="B204" t="str" cm="1">
        <f t="array" ref="B204">TEXT(0.5,"""Total: ""0")</f>
        <v>Total: 1</v>
      </c>
    </row>
    <row r="205" spans="1:2" ht="15" x14ac:dyDescent="0.2">
      <c r="A205" t="s">
        <v>205</v>
      </c>
      <c r="B205" t="str" cm="1">
        <f t="array" ref="B205">TEXT(0.5,"0 ""units""")</f>
        <v>1 units</v>
      </c>
    </row>
    <row r="206" spans="1:2" ht="15" x14ac:dyDescent="0.2">
      <c r="A206" t="s">
        <v>206</v>
      </c>
      <c r="B206" t="str" cm="1">
        <f t="array" ref="B206">TEXT(0.5,"\#0")</f>
        <v>#1</v>
      </c>
    </row>
    <row r="207" spans="1:2" ht="15" x14ac:dyDescent="0.2">
      <c r="A207" t="s">
        <v>207</v>
      </c>
      <c r="B207" t="str" cm="1">
        <f t="array" ref="B207">TEXT(0.5,"@")</f>
        <v>0.5</v>
      </c>
    </row>
    <row r="208" spans="1:2" ht="15" x14ac:dyDescent="0.2">
      <c r="A208" t="s">
        <v>208</v>
      </c>
      <c r="B208" t="str" cm="1">
        <f t="array" ref="B208">TEXT(0.5,"0;@")</f>
        <v>1</v>
      </c>
    </row>
    <row r="209" spans="1:2" ht="15" x14ac:dyDescent="0.2">
      <c r="A209" t="s">
        <v>209</v>
      </c>
      <c r="B209" t="str" cm="1">
        <f t="array" ref="B209">TEXT(0.5,"m/d/yyyy")</f>
        <v>1/0/1900</v>
      </c>
    </row>
    <row r="210" spans="1:2" ht="15" x14ac:dyDescent="0.2">
      <c r="A210" t="s">
        <v>210</v>
      </c>
      <c r="B210" t="str" cm="1">
        <f t="array" ref="B210">TEXT(0.5,"d-mmm-yy")</f>
        <v>0-Jan-00</v>
      </c>
    </row>
    <row r="211" spans="1:2" ht="15" x14ac:dyDescent="0.2">
      <c r="A211" t="s">
        <v>211</v>
      </c>
      <c r="B211" t="str" cm="1">
        <f t="array" ref="B211">TEXT(0.5,"mmmm d, yyyy")</f>
        <v>January 0, 1900</v>
      </c>
    </row>
    <row r="212" spans="1:2" ht="15" x14ac:dyDescent="0.2">
      <c r="A212" t="s">
        <v>212</v>
      </c>
      <c r="B212" t="str" cm="1">
        <f t="array" ref="B212">TEXT(0.5,"dddd")</f>
        <v>Saturday</v>
      </c>
    </row>
    <row r="213" spans="1:2" ht="15" x14ac:dyDescent="0.2">
      <c r="A213" t="s">
        <v>213</v>
      </c>
      <c r="B213" t="str" cm="1">
        <f t="array" ref="B213">TEXT(0.5,"ddd, mmm d")</f>
        <v>Sat, Jan 0</v>
      </c>
    </row>
    <row r="214" spans="1:2" ht="15" x14ac:dyDescent="0.2">
      <c r="A214" t="s">
        <v>214</v>
      </c>
      <c r="B214" t="str" cm="1">
        <f t="array" ref="B214">TEXT(0.5,"mmmmm")</f>
        <v>J</v>
      </c>
    </row>
    <row r="215" spans="1:2" ht="15" x14ac:dyDescent="0.2">
      <c r="A215" t="s">
        <v>215</v>
      </c>
      <c r="B215" t="str" cm="1">
        <f t="array" ref="B215">TEXT(0.5,"yy")</f>
        <v>00</v>
      </c>
    </row>
    <row r="216" spans="1:2" ht="15" x14ac:dyDescent="0.2">
      <c r="A216" t="s">
        <v>216</v>
      </c>
      <c r="B216" t="str" cm="1">
        <f t="array" ref="B216">TEXT(0.5,"h:mm")</f>
        <v>12:00</v>
      </c>
    </row>
    <row r="217" spans="1:2" ht="15" x14ac:dyDescent="0.2">
      <c r="A217" t="s">
        <v>217</v>
      </c>
      <c r="B217" t="str" cm="1">
        <f t="array" ref="B217">TEXT(0.5,"h:mm:ss")</f>
        <v>12:00:00</v>
      </c>
    </row>
    <row r="218" spans="1:2" ht="15" x14ac:dyDescent="0.2">
      <c r="A218" t="s">
        <v>218</v>
      </c>
      <c r="B218" t="str" cm="1">
        <f t="array" ref="B218">TEXT(0.5,"h:mm AM/PM")</f>
        <v>12:00 PM</v>
      </c>
    </row>
    <row r="219" spans="1:2" ht="15" x14ac:dyDescent="0.2">
      <c r="A219" t="s">
        <v>219</v>
      </c>
      <c r="B219" t="str" cm="1">
        <f t="array" ref="B219">TEXT(0.5,"hh:mm:ss a/p")</f>
        <v>12:00:00 p</v>
      </c>
    </row>
    <row r="220" spans="1:2" ht="15" x14ac:dyDescent="0.2">
      <c r="A220" t="s">
        <v>220</v>
      </c>
      <c r="B220" t="str" cm="1">
        <f t="array" ref="B220">TEXT(0.5,"[h]:mm:ss")</f>
        <v>12:00:00</v>
      </c>
    </row>
    <row r="221" spans="1:2" ht="15" x14ac:dyDescent="0.2">
      <c r="A221" t="s">
        <v>221</v>
      </c>
      <c r="B221" t="str" cm="1">
        <f t="array" ref="B221">TEXT(0.5,"[mm]:ss")</f>
        <v>720:00</v>
      </c>
    </row>
    <row r="222" spans="1:2" ht="15" x14ac:dyDescent="0.2">
      <c r="A222" t="s">
        <v>222</v>
      </c>
      <c r="B222" t="str" cm="1">
        <f t="array" ref="B222">TEXT(0.5,"mm:ss.0")</f>
        <v>00:00.0</v>
      </c>
    </row>
    <row r="223" spans="1:2" ht="15" x14ac:dyDescent="0.2">
      <c r="A223" t="s">
        <v>223</v>
      </c>
      <c r="B223" t="str" cm="1">
        <f t="array" ref="B223">TEXT(0.5,"h:mm:ss.000")</f>
        <v>12:00:00.000</v>
      </c>
    </row>
    <row r="224" spans="1:2" ht="15" x14ac:dyDescent="0.2">
      <c r="A224" t="s">
        <v>224</v>
      </c>
      <c r="B224" t="str" cm="1">
        <f t="array" ref="B224">TEXT(0.5,"yyyy-mm-dd hh:mm")</f>
        <v>1900-01-00 12:00</v>
      </c>
    </row>
    <row r="225" spans="1:2" ht="15" x14ac:dyDescent="0.2">
      <c r="A225" t="s">
        <v>225</v>
      </c>
      <c r="B225" t="str" cm="1">
        <f t="array" ref="B225">TEXT(0.5,"m/d/yyyy h:mm")</f>
        <v>1/0/1900 12:00</v>
      </c>
    </row>
    <row r="226" spans="1:2" ht="15" x14ac:dyDescent="0.2">
      <c r="A226" t="s">
        <v>226</v>
      </c>
      <c r="B226" t="str" cm="1">
        <f t="array" ref="B226">TEXT(0.5,"[$-409]mmmm d, yyyy")</f>
        <v>January 0, 1900</v>
      </c>
    </row>
    <row r="227" spans="1:2" ht="15" x14ac:dyDescent="0.2">
      <c r="A227" t="s">
        <v>227</v>
      </c>
      <c r="B227" t="str" cm="1">
        <f t="array" ref="B227">TEXT(0.5,"[$€-407] #,##0.00")</f>
        <v>€ 0.50</v>
      </c>
    </row>
    <row r="228" spans="1:2" ht="15" x14ac:dyDescent="0.2">
      <c r="A228" t="s">
        <v>228</v>
      </c>
      <c r="B228" t="str" cm="1">
        <f t="array" ref="B228">TEXT(0.5,"General"" kg""")</f>
        <v>0.5 kg</v>
      </c>
    </row>
    <row r="229" spans="1:2" ht="15" x14ac:dyDescent="0.2">
      <c r="A229" t="s">
        <v>229</v>
      </c>
      <c r="B229" t="str" cm="1">
        <f t="array" ref="B229">TEXT(0.5,"0.00_);[Red]-0.00 ")</f>
        <v xml:space="preserve">0.50 </v>
      </c>
    </row>
    <row r="230" spans="1:2" ht="15" x14ac:dyDescent="0.2">
      <c r="A230" t="s">
        <v>230</v>
      </c>
      <c r="B230" t="str" cm="1">
        <f t="array" ref="B230">TEXT(-0.5,"General")</f>
        <v>-0.5</v>
      </c>
    </row>
    <row r="231" spans="1:2" ht="15" x14ac:dyDescent="0.2">
      <c r="A231" t="s">
        <v>231</v>
      </c>
      <c r="B231" t="str" cm="1">
        <f t="array" ref="B231">TEXT(-0.5,"0")</f>
        <v>-1</v>
      </c>
    </row>
    <row r="232" spans="1:2" ht="15" x14ac:dyDescent="0.2">
      <c r="A232" t="s">
        <v>232</v>
      </c>
      <c r="B232" t="str" cm="1">
        <f t="array" ref="B232">TEXT(-0.5,"0.00")</f>
        <v>-0.50</v>
      </c>
    </row>
    <row r="233" spans="1:2" ht="15" x14ac:dyDescent="0.2">
      <c r="A233" t="s">
        <v>233</v>
      </c>
      <c r="B233" t="str" cm="1">
        <f t="array" ref="B233">TEXT(-0.5,"#,##0")</f>
        <v>-1</v>
      </c>
    </row>
    <row r="234" spans="1:2" ht="15" x14ac:dyDescent="0.2">
      <c r="A234" t="s">
        <v>234</v>
      </c>
      <c r="B234" t="str" cm="1">
        <f t="array" ref="B234">TEXT(-0.5,"#,##0.00")</f>
        <v>-0.50</v>
      </c>
    </row>
    <row r="235" spans="1:2" ht="15" x14ac:dyDescent="0.2">
      <c r="A235" t="s">
        <v>235</v>
      </c>
      <c r="B235" t="str" cm="1">
        <f t="array" ref="B235">TEXT(-0.5,"#,##0.000")</f>
        <v>-0.500</v>
      </c>
    </row>
    <row r="236" spans="1:2" ht="15" x14ac:dyDescent="0.2">
      <c r="A236" t="s">
        <v>236</v>
      </c>
      <c r="B236" t="str" cm="1">
        <f t="array" ref="B236">TEXT(-0.5,"0%")</f>
        <v>-50%</v>
      </c>
    </row>
    <row r="237" spans="1:2" ht="15" x14ac:dyDescent="0.2">
      <c r="A237" t="s">
        <v>237</v>
      </c>
      <c r="B237" t="str" cm="1">
        <f t="array" ref="B237">TEXT(-0.5,"0.00%")</f>
        <v>-50.00%</v>
      </c>
    </row>
    <row r="238" spans="1:2" ht="15" x14ac:dyDescent="0.2">
      <c r="A238" t="s">
        <v>238</v>
      </c>
      <c r="B238" t="str" cm="1">
        <f t="array" ref="B238">TEXT(-0.5,"0.00E+00")</f>
        <v>-5.00E-01</v>
      </c>
    </row>
    <row r="239" spans="1:2" ht="15" x14ac:dyDescent="0.2">
      <c r="A239" t="s">
        <v>239</v>
      </c>
      <c r="B239" t="str" cm="1">
        <f t="array" ref="B239">TEXT(-0.5,"##0.0E+0")</f>
        <v>-500.0E-3</v>
      </c>
    </row>
    <row r="240" spans="1:2" ht="15" x14ac:dyDescent="0.2">
      <c r="A240" t="s">
        <v>240</v>
      </c>
      <c r="B240" t="str" cm="1">
        <f t="array" ref="B240">TEXT(-0.5,"0.0E+0")</f>
        <v>-5.0E-1</v>
      </c>
    </row>
    <row r="241" spans="1:2" ht="15" x14ac:dyDescent="0.2">
      <c r="A241" t="s">
        <v>241</v>
      </c>
      <c r="B241" t="str" cm="1">
        <f t="array" ref="B241">TEXT(-0.5,"# ?/?")</f>
        <v>- 1/2</v>
      </c>
    </row>
    <row r="242" spans="1:2" ht="15" x14ac:dyDescent="0.2">
      <c r="A242" t="s">
        <v>242</v>
      </c>
      <c r="B242" t="str" cm="1">
        <f t="array" ref="B242">TEXT(-0.5,"# ??/??")</f>
        <v xml:space="preserve">-  1/2 </v>
      </c>
    </row>
    <row r="243" spans="1:2" ht="15" x14ac:dyDescent="0.2">
      <c r="A243" t="s">
        <v>243</v>
      </c>
      <c r="B243" t="str" cm="1">
        <f t="array" ref="B243">TEXT(-0.5,"?/?")</f>
        <v>-1/2</v>
      </c>
    </row>
    <row r="244" spans="1:2" ht="15" x14ac:dyDescent="0.2">
      <c r="A244" t="s">
        <v>244</v>
      </c>
      <c r="B244" t="str" cm="1">
        <f t="array" ref="B244">TEXT(-0.5,"# ?/8")</f>
        <v>- 4/8</v>
      </c>
    </row>
    <row r="245" spans="1:2" ht="15" x14ac:dyDescent="0.2">
      <c r="A245" t="s">
        <v>245</v>
      </c>
      <c r="B245" t="str" cm="1">
        <f t="array" ref="B245">TEXT(-0.5,"?/100")</f>
        <v>-50/100</v>
      </c>
    </row>
    <row r="246" spans="1:2" ht="15" x14ac:dyDescent="0.2">
      <c r="A246" t="s">
        <v>246</v>
      </c>
      <c r="B246" t="str" cm="1">
        <f t="array" ref="B246">TEXT(-0.5,"""$""#,##0.00")</f>
        <v>-$0.50</v>
      </c>
    </row>
    <row r="247" spans="1:2" ht="15" x14ac:dyDescent="0.2">
      <c r="A247" t="s">
        <v>247</v>
      </c>
      <c r="B247" t="str" cm="1">
        <f t="array" ref="B247">TEXT(-0.5,"#,##0.00;[Red](#,##0.00)")</f>
        <v>(0.50)</v>
      </c>
    </row>
    <row r="248" spans="1:2" ht="15" x14ac:dyDescent="0.2">
      <c r="A248" t="s">
        <v>248</v>
      </c>
      <c r="B248" t="str" cm="1">
        <f t="array" ref="B248">TEXT(-0.5,"0.0;-0.0;""zero""")</f>
        <v>-0.5</v>
      </c>
    </row>
    <row r="249" spans="1:2" ht="15" x14ac:dyDescent="0.2">
      <c r="A249" t="s">
        <v>249</v>
      </c>
      <c r="B249" t="str" cm="1">
        <f t="array" ref="B249">TEXT(-0.5,"0;(0);-")</f>
        <v>(1)</v>
      </c>
    </row>
    <row r="250" spans="1:2" ht="15" x14ac:dyDescent="0.2">
      <c r="A250" t="s">
        <v>250</v>
      </c>
      <c r="B250" t="str" cm="1">
        <f t="array" ref="B250">TEXT(-0.5,"[&gt;=100]0;[&lt;0]""neg"";""small""")</f>
        <v>neg</v>
      </c>
    </row>
    <row r="251" spans="1:2" ht="15" x14ac:dyDescent="0.2">
      <c r="A251" t="s">
        <v>251</v>
      </c>
      <c r="B251" t="str" cm="1">
        <f t="array" ref="B251">TEXT(-0.5,"#,##0,")</f>
        <v>0</v>
      </c>
    </row>
    <row r="252" spans="1:2" ht="15" x14ac:dyDescent="0.2">
      <c r="A252" t="s">
        <v>252</v>
      </c>
      <c r="B252" t="str" cm="1">
        <f t="array" ref="B252">TEXT(-0.5,"0.0,,""M""")</f>
        <v>0.0M</v>
      </c>
    </row>
    <row r="253" spans="1:2" ht="15" x14ac:dyDescent="0.2">
      <c r="A253" t="s">
        <v>253</v>
      </c>
      <c r="B253" t="str" cm="1">
        <f t="array" ref="B253">TEXT(-0.5,"000-00-0000")</f>
        <v>-000-00-0001</v>
      </c>
    </row>
    <row r="254" spans="1:2" ht="15" x14ac:dyDescent="0.2">
      <c r="A254" t="s">
        <v>254</v>
      </c>
      <c r="B254" t="str" cm="1">
        <f t="array" ref="B254">TEXT(-0.5,"00000")</f>
        <v>-00001</v>
      </c>
    </row>
    <row r="255" spans="1:2" ht="15" x14ac:dyDescent="0.2">
      <c r="A255" t="s">
        <v>255</v>
      </c>
      <c r="B255" t="str" cm="1">
        <f t="array" ref="B255">TEXT(-0.5,"#.##")</f>
        <v>-.5</v>
      </c>
    </row>
    <row r="256" spans="1:2" ht="15" x14ac:dyDescent="0.2">
      <c r="A256" t="s">
        <v>256</v>
      </c>
      <c r="B256" t="str" cm="1">
        <f t="array" ref="B256">TEXT(-0.5,"0.#")</f>
        <v>-0.5</v>
      </c>
    </row>
    <row r="257" spans="1:2" ht="15" x14ac:dyDescent="0.2">
      <c r="A257" t="s">
        <v>257</v>
      </c>
      <c r="B257" t="str" cm="1">
        <f t="array" ref="B257">TEXT(-0.5,"?.??")</f>
        <v xml:space="preserve">- .5 </v>
      </c>
    </row>
    <row r="258" spans="1:2" ht="15" x14ac:dyDescent="0.2">
      <c r="A258" t="s">
        <v>258</v>
      </c>
      <c r="B258" t="str" cm="1">
        <f t="array" ref="B258">TEXT(-0.5,"0.00?")</f>
        <v xml:space="preserve">-0.50 </v>
      </c>
    </row>
    <row r="259" spans="1:2" ht="15" x14ac:dyDescent="0.2">
      <c r="A259" t="s">
        <v>259</v>
      </c>
      <c r="B259" t="str" cm="1">
        <f t="array" ref="B259">TEXT(-0.5,"#,##0_);(#,##0)")</f>
        <v>(1)</v>
      </c>
    </row>
    <row r="260" spans="1:2" ht="15" x14ac:dyDescent="0.2">
      <c r="A260" t="s">
        <v>260</v>
      </c>
      <c r="B260" t="str" cm="1">
        <f t="array" ref="B260">TEXT(-0.5,"$#,##0")</f>
        <v>-$1</v>
      </c>
    </row>
    <row r="261" spans="1:2" ht="15" x14ac:dyDescent="0.2">
      <c r="A261" t="s">
        <v>261</v>
      </c>
      <c r="B261" t="str" cm="1">
        <f t="array" ref="B261">TEXT(-0.5,"""Total: ""0")</f>
        <v>-Total: 1</v>
      </c>
    </row>
    <row r="262" spans="1:2" ht="15" x14ac:dyDescent="0.2">
      <c r="A262" t="s">
        <v>262</v>
      </c>
      <c r="B262" t="str" cm="1">
        <f t="array" ref="B262">TEXT(-0.5,"0 ""units""")</f>
        <v>-1 units</v>
      </c>
    </row>
    <row r="263" spans="1:2" ht="15" x14ac:dyDescent="0.2">
      <c r="A263" t="s">
        <v>263</v>
      </c>
      <c r="B263" t="str" cm="1">
        <f t="array" ref="B263">TEXT(-0.5,"\#0")</f>
        <v>-#1</v>
      </c>
    </row>
    <row r="264" spans="1:2" ht="15" x14ac:dyDescent="0.2">
      <c r="A264" t="s">
        <v>264</v>
      </c>
      <c r="B264" t="str" cm="1">
        <f t="array" ref="B264">TEXT(-0.5,"@")</f>
        <v>-0.5</v>
      </c>
    </row>
    <row r="265" spans="1:2" ht="15" x14ac:dyDescent="0.2">
      <c r="A265" t="s">
        <v>265</v>
      </c>
      <c r="B265" t="str" cm="1">
        <f t="array" ref="B265">TEXT(-0.5,"0;@")</f>
        <v>-1</v>
      </c>
    </row>
    <row r="266" spans="1:2" ht="15" x14ac:dyDescent="0.2">
      <c r="A266" t="s">
        <v>266</v>
      </c>
      <c r="B266" t="e" cm="1">
        <f t="array" ref="B266">TEXT(-0.5,"m/d/yyyy")</f>
        <v>#VALUE!</v>
      </c>
    </row>
    <row r="267" spans="1:2" ht="15" x14ac:dyDescent="0.2">
      <c r="A267" t="s">
        <v>267</v>
      </c>
      <c r="B267" t="e" cm="1">
        <f t="array" ref="B267">TEXT(-0.5,"d-mmm-yy")</f>
        <v>#VALUE!</v>
      </c>
    </row>
    <row r="268" spans="1:2" ht="15" x14ac:dyDescent="0.2">
      <c r="A268" t="s">
        <v>268</v>
      </c>
      <c r="B268" t="e" cm="1">
        <f t="array" ref="B268">TEXT(-0.5,"mmmm d, yyyy")</f>
        <v>#VALUE!</v>
      </c>
    </row>
    <row r="269" spans="1:2" ht="15" x14ac:dyDescent="0.2">
      <c r="A269" t="s">
        <v>269</v>
      </c>
      <c r="B269" t="e" cm="1">
        <f t="array" ref="B269">TEXT(-0.5,"dddd")</f>
        <v>#VALUE!</v>
      </c>
    </row>
    <row r="270" spans="1:2" ht="15" x14ac:dyDescent="0.2">
      <c r="A270" t="s">
        <v>270</v>
      </c>
      <c r="B270" t="e" cm="1">
        <f t="array" ref="B270">TEXT(-0.5,"ddd, mmm d")</f>
        <v>#VALUE!</v>
      </c>
    </row>
    <row r="271" spans="1:2" ht="15" x14ac:dyDescent="0.2">
      <c r="A271" t="s">
        <v>271</v>
      </c>
      <c r="B271" t="e" cm="1">
        <f t="array" ref="B271">TEXT(-0.5,"mmmmm")</f>
        <v>#VALUE!</v>
      </c>
    </row>
    <row r="272" spans="1:2" ht="15" x14ac:dyDescent="0.2">
      <c r="A272" t="s">
        <v>272</v>
      </c>
      <c r="B272" t="e" cm="1">
        <f t="array" ref="B272">TEXT(-0.5,"yy")</f>
        <v>#VALUE!</v>
      </c>
    </row>
    <row r="273" spans="1:2" ht="15" x14ac:dyDescent="0.2">
      <c r="A273" t="s">
        <v>273</v>
      </c>
      <c r="B273" t="e" cm="1">
        <f t="array" ref="B273">TEXT(-0.5,"h:mm")</f>
        <v>#VALUE!</v>
      </c>
    </row>
    <row r="274" spans="1:2" ht="15" x14ac:dyDescent="0.2">
      <c r="A274" t="s">
        <v>274</v>
      </c>
      <c r="B274" t="e" cm="1">
        <f t="array" ref="B274">TEXT(-0.5,"h:mm:ss")</f>
        <v>#VALUE!</v>
      </c>
    </row>
    <row r="275" spans="1:2" ht="15" x14ac:dyDescent="0.2">
      <c r="A275" t="s">
        <v>275</v>
      </c>
      <c r="B275" t="e" cm="1">
        <f t="array" ref="B275">TEXT(-0.5,"h:mm AM/PM")</f>
        <v>#VALUE!</v>
      </c>
    </row>
    <row r="276" spans="1:2" ht="15" x14ac:dyDescent="0.2">
      <c r="A276" t="s">
        <v>276</v>
      </c>
      <c r="B276" t="e" cm="1">
        <f t="array" ref="B276">TEXT(-0.5,"hh:mm:ss a/p")</f>
        <v>#VALUE!</v>
      </c>
    </row>
    <row r="277" spans="1:2" ht="15" x14ac:dyDescent="0.2">
      <c r="A277" t="s">
        <v>277</v>
      </c>
      <c r="B277" t="e" cm="1">
        <f t="array" ref="B277">TEXT(-0.5,"[h]:mm:ss")</f>
        <v>#VALUE!</v>
      </c>
    </row>
    <row r="278" spans="1:2" ht="15" x14ac:dyDescent="0.2">
      <c r="A278" t="s">
        <v>278</v>
      </c>
      <c r="B278" t="e" cm="1">
        <f t="array" ref="B278">TEXT(-0.5,"[mm]:ss")</f>
        <v>#VALUE!</v>
      </c>
    </row>
    <row r="279" spans="1:2" ht="15" x14ac:dyDescent="0.2">
      <c r="A279" t="s">
        <v>279</v>
      </c>
      <c r="B279" t="e" cm="1">
        <f t="array" ref="B279">TEXT(-0.5,"mm:ss.0")</f>
        <v>#VALUE!</v>
      </c>
    </row>
    <row r="280" spans="1:2" ht="15" x14ac:dyDescent="0.2">
      <c r="A280" t="s">
        <v>280</v>
      </c>
      <c r="B280" t="e" cm="1">
        <f t="array" ref="B280">TEXT(-0.5,"h:mm:ss.000")</f>
        <v>#VALUE!</v>
      </c>
    </row>
    <row r="281" spans="1:2" ht="15" x14ac:dyDescent="0.2">
      <c r="A281" t="s">
        <v>281</v>
      </c>
      <c r="B281" t="e" cm="1">
        <f t="array" ref="B281">TEXT(-0.5,"yyyy-mm-dd hh:mm")</f>
        <v>#VALUE!</v>
      </c>
    </row>
    <row r="282" spans="1:2" ht="15" x14ac:dyDescent="0.2">
      <c r="A282" t="s">
        <v>282</v>
      </c>
      <c r="B282" t="e" cm="1">
        <f t="array" ref="B282">TEXT(-0.5,"m/d/yyyy h:mm")</f>
        <v>#VALUE!</v>
      </c>
    </row>
    <row r="283" spans="1:2" ht="15" x14ac:dyDescent="0.2">
      <c r="A283" t="s">
        <v>283</v>
      </c>
      <c r="B283" t="e" cm="1">
        <f t="array" ref="B283">TEXT(-0.5,"[$-409]mmmm d, yyyy")</f>
        <v>#VALUE!</v>
      </c>
    </row>
    <row r="284" spans="1:2" ht="15" x14ac:dyDescent="0.2">
      <c r="A284" t="s">
        <v>284</v>
      </c>
      <c r="B284" t="str" cm="1">
        <f t="array" ref="B284">TEXT(-0.5,"[$€-407] #,##0.00")</f>
        <v>-€ 0.50</v>
      </c>
    </row>
    <row r="285" spans="1:2" ht="15" x14ac:dyDescent="0.2">
      <c r="A285" t="s">
        <v>285</v>
      </c>
      <c r="B285" t="str" cm="1">
        <f t="array" ref="B285">TEXT(-0.5,"General"" kg""")</f>
        <v>-0.5 kg</v>
      </c>
    </row>
    <row r="286" spans="1:2" ht="15" x14ac:dyDescent="0.2">
      <c r="A286" t="s">
        <v>286</v>
      </c>
      <c r="B286" t="str" cm="1">
        <f t="array" ref="B286">TEXT(-0.5,"0.00_);[Red]-0.00 ")</f>
        <v xml:space="preserve">-0.50 </v>
      </c>
    </row>
    <row r="287" spans="1:2" ht="15" x14ac:dyDescent="0.2">
      <c r="A287" t="s">
        <v>287</v>
      </c>
      <c r="B287" t="str" cm="1">
        <f t="array" ref="B287">TEXT(1234.5678,"General")</f>
        <v>1234.5678</v>
      </c>
    </row>
    <row r="288" spans="1:2" ht="15" x14ac:dyDescent="0.2">
      <c r="A288" t="s">
        <v>288</v>
      </c>
      <c r="B288" t="str" cm="1">
        <f t="array" ref="B288">TEXT(1234.5678,"0")</f>
        <v>1235</v>
      </c>
    </row>
    <row r="289" spans="1:2" ht="15" x14ac:dyDescent="0.2">
      <c r="A289" t="s">
        <v>289</v>
      </c>
      <c r="B289" t="str" cm="1">
        <f t="array" ref="B289">TEXT(1234.5678,"0.00")</f>
        <v>1234.57</v>
      </c>
    </row>
    <row r="290" spans="1:2" ht="15" x14ac:dyDescent="0.2">
      <c r="A290" t="s">
        <v>290</v>
      </c>
      <c r="B290" t="str" cm="1">
        <f t="array" ref="B290">TEXT(1234.5678,"#,##0")</f>
        <v>1,235</v>
      </c>
    </row>
    <row r="291" spans="1:2" ht="15" x14ac:dyDescent="0.2">
      <c r="A291" t="s">
        <v>291</v>
      </c>
      <c r="B291" t="str" cm="1">
        <f t="array" ref="B291">TEXT(1234.5678,"#,##0.00")</f>
        <v>1,234.57</v>
      </c>
    </row>
    <row r="292" spans="1:2" ht="15" x14ac:dyDescent="0.2">
      <c r="A292" t="s">
        <v>292</v>
      </c>
      <c r="B292" t="str" cm="1">
        <f t="array" ref="B292">TEXT(1234.5678,"#,##0.000")</f>
        <v>1,234.568</v>
      </c>
    </row>
    <row r="293" spans="1:2" ht="15" x14ac:dyDescent="0.2">
      <c r="A293" t="s">
        <v>293</v>
      </c>
      <c r="B293" t="str" cm="1">
        <f t="array" ref="B293">TEXT(1234.5678,"0%")</f>
        <v>123457%</v>
      </c>
    </row>
    <row r="294" spans="1:2" ht="15" x14ac:dyDescent="0.2">
      <c r="A294" t="s">
        <v>294</v>
      </c>
      <c r="B294" t="str" cm="1">
        <f t="array" ref="B294">TEXT(1234.5678,"0.00%")</f>
        <v>123456.78%</v>
      </c>
    </row>
    <row r="295" spans="1:2" ht="15" x14ac:dyDescent="0.2">
      <c r="A295" t="s">
        <v>295</v>
      </c>
      <c r="B295" t="str" cm="1">
        <f t="array" ref="B295">TEXT(1234.5678,"0.00E+00")</f>
        <v>1.23E+03</v>
      </c>
    </row>
    <row r="296" spans="1:2" ht="15" x14ac:dyDescent="0.2">
      <c r="A296" t="s">
        <v>296</v>
      </c>
      <c r="B296" t="str" cm="1">
        <f t="array" ref="B296">TEXT(1234.5678,"##0.0E+0")</f>
        <v>1.2E+3</v>
      </c>
    </row>
    <row r="297" spans="1:2" ht="15" x14ac:dyDescent="0.2">
      <c r="A297" t="s">
        <v>297</v>
      </c>
      <c r="B297" t="str" cm="1">
        <f t="array" ref="B297">TEXT(1234.5678,"0.0E+0")</f>
        <v>1.2E+3</v>
      </c>
    </row>
    <row r="298" spans="1:2" ht="15" x14ac:dyDescent="0.2">
      <c r="A298" t="s">
        <v>298</v>
      </c>
      <c r="B298" t="str" cm="1">
        <f t="array" ref="B298">TEXT(1234.5678,"# ?/?")</f>
        <v>1234 4/7</v>
      </c>
    </row>
    <row r="299" spans="1:2" ht="15" x14ac:dyDescent="0.2">
      <c r="A299" t="s">
        <v>299</v>
      </c>
      <c r="B299" t="str" cm="1">
        <f t="array" ref="B299">TEXT(1234.5678,"# ??/??")</f>
        <v>1234 46/81</v>
      </c>
    </row>
    <row r="300" spans="1:2" ht="15" x14ac:dyDescent="0.2">
      <c r="A300" t="s">
        <v>300</v>
      </c>
      <c r="B300" t="str" cm="1">
        <f t="array" ref="B300">TEXT(1234.5678,"?/?")</f>
        <v>8642/7</v>
      </c>
    </row>
    <row r="301" spans="1:2" ht="15" x14ac:dyDescent="0.2">
      <c r="A301" t="s">
        <v>301</v>
      </c>
      <c r="B301" t="str" cm="1">
        <f t="array" ref="B301">TEXT(1234.5678,"# ?/8")</f>
        <v>1234 5/8</v>
      </c>
    </row>
    <row r="302" spans="1:2" ht="15" x14ac:dyDescent="0.2">
      <c r="A302" t="s">
        <v>302</v>
      </c>
      <c r="B302" t="e" cm="1">
        <f t="array" ref="B302">TEXT(1234.5678,"?/100")</f>
        <v>#VALUE!</v>
      </c>
    </row>
    <row r="303" spans="1:2" ht="15" x14ac:dyDescent="0.2">
      <c r="A303" t="s">
        <v>303</v>
      </c>
      <c r="B303" t="str" cm="1">
        <f t="array" ref="B303">TEXT(1234.5678,"""$""#,##0.00")</f>
        <v>$1,234.57</v>
      </c>
    </row>
    <row r="304" spans="1:2" ht="15" x14ac:dyDescent="0.2">
      <c r="A304" t="s">
        <v>304</v>
      </c>
      <c r="B304" t="str" cm="1">
        <f t="array" ref="B304">TEXT(1234.5678,"#,##0.00;[Red](#,##0.00)")</f>
        <v>1,234.57</v>
      </c>
    </row>
    <row r="305" spans="1:2" ht="15" x14ac:dyDescent="0.2">
      <c r="A305" t="s">
        <v>305</v>
      </c>
      <c r="B305" t="str" cm="1">
        <f t="array" ref="B305">TEXT(1234.5678,"0.0;-0.0;""zero""")</f>
        <v>1234.6</v>
      </c>
    </row>
    <row r="306" spans="1:2" ht="15" x14ac:dyDescent="0.2">
      <c r="A306" t="s">
        <v>306</v>
      </c>
      <c r="B306" t="str" cm="1">
        <f t="array" ref="B306">TEXT(1234.5678,"0;(0);-")</f>
        <v>1235</v>
      </c>
    </row>
    <row r="307" spans="1:2" ht="15" x14ac:dyDescent="0.2">
      <c r="A307" t="s">
        <v>307</v>
      </c>
      <c r="B307" t="str" cm="1">
        <f t="array" ref="B307">TEXT(1234.5678,"[&gt;=100]0;[&lt;0]""neg"";""small""")</f>
        <v>1235</v>
      </c>
    </row>
    <row r="308" spans="1:2" ht="15" x14ac:dyDescent="0.2">
      <c r="A308" t="s">
        <v>308</v>
      </c>
      <c r="B308" t="str" cm="1">
        <f t="array" ref="B308">TEXT(1234.5678,"#,##0,")</f>
        <v>1</v>
      </c>
    </row>
    <row r="309" spans="1:2" ht="15" x14ac:dyDescent="0.2">
      <c r="A309" t="s">
        <v>309</v>
      </c>
      <c r="B309" t="str" cm="1">
        <f t="array" ref="B309">TEXT(1234.5678,"0.0,,""M""")</f>
        <v>0.0M</v>
      </c>
    </row>
    <row r="310" spans="1:2" ht="15" x14ac:dyDescent="0.2">
      <c r="A310" t="s">
        <v>310</v>
      </c>
      <c r="B310" t="str" cm="1">
        <f t="array" ref="B310">TEXT(1234.5678,"000-00-0000")</f>
        <v>000-00-1235</v>
      </c>
    </row>
    <row r="311" spans="1:2" ht="15" x14ac:dyDescent="0.2">
      <c r="A311" t="s">
        <v>311</v>
      </c>
      <c r="B311" t="str" cm="1">
        <f t="array" ref="B311">TEXT(1234.5678,"00000")</f>
        <v>01235</v>
      </c>
    </row>
    <row r="312" spans="1:2" ht="15" x14ac:dyDescent="0.2">
      <c r="A312" t="s">
        <v>312</v>
      </c>
      <c r="B312" t="str" cm="1">
        <f t="array" ref="B312">TEXT(1234.5678,"#.##")</f>
        <v>1234.57</v>
      </c>
    </row>
    <row r="313" spans="1:2" ht="15" x14ac:dyDescent="0.2">
      <c r="A313" t="s">
        <v>313</v>
      </c>
      <c r="B313" t="str" cm="1">
        <f t="array" ref="B313">TEXT(1234.5678,"0.#")</f>
        <v>1234.6</v>
      </c>
    </row>
    <row r="314" spans="1:2" ht="15" x14ac:dyDescent="0.2">
      <c r="A314" t="s">
        <v>314</v>
      </c>
      <c r="B314" t="str" cm="1">
        <f t="array" ref="B314">TEXT(1234.5678,"?.??")</f>
        <v>1234.57</v>
      </c>
    </row>
    <row r="315" spans="1:2" ht="15" x14ac:dyDescent="0.2">
      <c r="A315" t="s">
        <v>315</v>
      </c>
      <c r="B315" t="str" cm="1">
        <f t="array" ref="B315">TEXT(1234.5678,"0.00?")</f>
        <v>1234.568</v>
      </c>
    </row>
    <row r="316" spans="1:2" ht="15" x14ac:dyDescent="0.2">
      <c r="A316" t="s">
        <v>316</v>
      </c>
      <c r="B316" t="str" cm="1">
        <f t="array" ref="B316">TEXT(1234.5678,"#,##0_);(#,##0)")</f>
        <v xml:space="preserve">1,235 </v>
      </c>
    </row>
    <row r="317" spans="1:2" ht="15" x14ac:dyDescent="0.2">
      <c r="A317" t="s">
        <v>317</v>
      </c>
      <c r="B317" t="str" cm="1">
        <f t="array" ref="B317">TEXT(1234.5678,"$#,##0")</f>
        <v>$1,235</v>
      </c>
    </row>
    <row r="318" spans="1:2" ht="15" x14ac:dyDescent="0.2">
      <c r="A318" t="s">
        <v>318</v>
      </c>
      <c r="B318" t="str" cm="1">
        <f t="array" ref="B318">TEXT(1234.5678,"""Total: ""0")</f>
        <v>Total: 1235</v>
      </c>
    </row>
    <row r="319" spans="1:2" ht="15" x14ac:dyDescent="0.2">
      <c r="A319" t="s">
        <v>319</v>
      </c>
      <c r="B319" t="str" cm="1">
        <f t="array" ref="B319">TEXT(1234.5678,"0 ""units""")</f>
        <v>1235 units</v>
      </c>
    </row>
    <row r="320" spans="1:2" ht="15" x14ac:dyDescent="0.2">
      <c r="A320" t="s">
        <v>320</v>
      </c>
      <c r="B320" t="str" cm="1">
        <f t="array" ref="B320">TEXT(1234.5678,"\#0")</f>
        <v>#1235</v>
      </c>
    </row>
    <row r="321" spans="1:2" ht="15" x14ac:dyDescent="0.2">
      <c r="A321" t="s">
        <v>321</v>
      </c>
      <c r="B321" t="str" cm="1">
        <f t="array" ref="B321">TEXT(1234.5678,"@")</f>
        <v>1234.5678</v>
      </c>
    </row>
    <row r="322" spans="1:2" ht="15" x14ac:dyDescent="0.2">
      <c r="A322" t="s">
        <v>322</v>
      </c>
      <c r="B322" t="str" cm="1">
        <f t="array" ref="B322">TEXT(1234.5678,"0;@")</f>
        <v>1235</v>
      </c>
    </row>
    <row r="323" spans="1:2" ht="15" x14ac:dyDescent="0.2">
      <c r="A323" t="s">
        <v>323</v>
      </c>
      <c r="B323" t="str" cm="1">
        <f t="array" ref="B323">TEXT(1234.5678,"m/d/yyyy")</f>
        <v>5/18/1903</v>
      </c>
    </row>
    <row r="324" spans="1:2" ht="15" x14ac:dyDescent="0.2">
      <c r="A324" t="s">
        <v>324</v>
      </c>
      <c r="B324" t="str" cm="1">
        <f t="array" ref="B324">TEXT(1234.5678,"d-mmm-yy")</f>
        <v>18-May-03</v>
      </c>
    </row>
    <row r="325" spans="1:2" ht="15" x14ac:dyDescent="0.2">
      <c r="A325" t="s">
        <v>325</v>
      </c>
      <c r="B325" t="str" cm="1">
        <f t="array" ref="B325">TEXT(1234.5678,"mmmm d, yyyy")</f>
        <v>May 18, 1903</v>
      </c>
    </row>
    <row r="326" spans="1:2" ht="15" x14ac:dyDescent="0.2">
      <c r="A326" t="s">
        <v>326</v>
      </c>
      <c r="B326" t="str" cm="1">
        <f t="array" ref="B326">TEXT(1234.5678,"dddd")</f>
        <v>Monday</v>
      </c>
    </row>
    <row r="327" spans="1:2" ht="15" x14ac:dyDescent="0.2">
      <c r="A327" t="s">
        <v>327</v>
      </c>
      <c r="B327" t="str" cm="1">
        <f t="array" ref="B327">TEXT(1234.5678,"ddd, mmm d")</f>
        <v>Mon, May 18</v>
      </c>
    </row>
    <row r="328" spans="1:2" ht="15" x14ac:dyDescent="0.2">
      <c r="A328" t="s">
        <v>328</v>
      </c>
      <c r="B328" t="str" cm="1">
        <f t="array" ref="B328">TEXT(1234.5678,"mmmmm")</f>
        <v>M</v>
      </c>
    </row>
    <row r="329" spans="1:2" ht="15" x14ac:dyDescent="0.2">
      <c r="A329" t="s">
        <v>329</v>
      </c>
      <c r="B329" t="str" cm="1">
        <f t="array" ref="B329">TEXT(1234.5678,"yy")</f>
        <v>03</v>
      </c>
    </row>
    <row r="330" spans="1:2" ht="15" x14ac:dyDescent="0.2">
      <c r="A330" t="s">
        <v>330</v>
      </c>
      <c r="B330" t="str" cm="1">
        <f t="array" ref="B330">TEXT(1234.5678,"h:mm")</f>
        <v>13:37</v>
      </c>
    </row>
    <row r="331" spans="1:2" ht="15" x14ac:dyDescent="0.2">
      <c r="A331" t="s">
        <v>331</v>
      </c>
      <c r="B331" t="str" cm="1">
        <f t="array" ref="B331">TEXT(1234.5678,"h:mm:ss")</f>
        <v>13:37:38</v>
      </c>
    </row>
    <row r="332" spans="1:2" ht="15" x14ac:dyDescent="0.2">
      <c r="A332" t="s">
        <v>332</v>
      </c>
      <c r="B332" t="str" cm="1">
        <f t="array" ref="B332">TEXT(1234.5678,"h:mm AM/PM")</f>
        <v>1:37 PM</v>
      </c>
    </row>
    <row r="333" spans="1:2" ht="15" x14ac:dyDescent="0.2">
      <c r="A333" t="s">
        <v>333</v>
      </c>
      <c r="B333" t="str" cm="1">
        <f t="array" ref="B333">TEXT(1234.5678,"hh:mm:ss a/p")</f>
        <v>01:37:38 p</v>
      </c>
    </row>
    <row r="334" spans="1:2" ht="15" x14ac:dyDescent="0.2">
      <c r="A334" t="s">
        <v>334</v>
      </c>
      <c r="B334" t="str" cm="1">
        <f t="array" ref="B334">TEXT(1234.5678,"[h]:mm:ss")</f>
        <v>29629:37:38</v>
      </c>
    </row>
    <row r="335" spans="1:2" ht="15" x14ac:dyDescent="0.2">
      <c r="A335" t="s">
        <v>335</v>
      </c>
      <c r="B335" t="str" cm="1">
        <f t="array" ref="B335">TEXT(1234.5678,"[mm]:ss")</f>
        <v>1777777:38</v>
      </c>
    </row>
    <row r="336" spans="1:2" ht="15" x14ac:dyDescent="0.2">
      <c r="A336" t="s">
        <v>336</v>
      </c>
      <c r="B336" t="str" cm="1">
        <f t="array" ref="B336">TEXT(1234.5678,"mm:ss.0")</f>
        <v>37:37.9</v>
      </c>
    </row>
    <row r="337" spans="1:2" ht="15" x14ac:dyDescent="0.2">
      <c r="A337" t="s">
        <v>337</v>
      </c>
      <c r="B337" t="str" cm="1">
        <f t="array" ref="B337">TEXT(1234.5678,"h:mm:ss.000")</f>
        <v>13:37:37.920</v>
      </c>
    </row>
    <row r="338" spans="1:2" ht="15" x14ac:dyDescent="0.2">
      <c r="A338" t="s">
        <v>338</v>
      </c>
      <c r="B338" t="str" cm="1">
        <f t="array" ref="B338">TEXT(1234.5678,"yyyy-mm-dd hh:mm")</f>
        <v>1903-05-18 13:37</v>
      </c>
    </row>
    <row r="339" spans="1:2" ht="15" x14ac:dyDescent="0.2">
      <c r="A339" t="s">
        <v>339</v>
      </c>
      <c r="B339" t="str" cm="1">
        <f t="array" ref="B339">TEXT(1234.5678,"m/d/yyyy h:mm")</f>
        <v>5/18/1903 13:37</v>
      </c>
    </row>
    <row r="340" spans="1:2" ht="15" x14ac:dyDescent="0.2">
      <c r="A340" t="s">
        <v>340</v>
      </c>
      <c r="B340" t="str" cm="1">
        <f t="array" ref="B340">TEXT(1234.5678,"[$-409]mmmm d, yyyy")</f>
        <v>May 18, 1903</v>
      </c>
    </row>
    <row r="341" spans="1:2" ht="15" x14ac:dyDescent="0.2">
      <c r="A341" t="s">
        <v>341</v>
      </c>
      <c r="B341" t="str" cm="1">
        <f t="array" ref="B341">TEXT(1234.5678,"[$€-407] #,##0.00")</f>
        <v>€ 1,234.57</v>
      </c>
    </row>
    <row r="342" spans="1:2" ht="15" x14ac:dyDescent="0.2">
      <c r="A342" t="s">
        <v>342</v>
      </c>
      <c r="B342" t="str" cm="1">
        <f t="array" ref="B342">TEXT(1234.5678,"General"" kg""")</f>
        <v>1234.5678 kg</v>
      </c>
    </row>
    <row r="343" spans="1:2" ht="15" x14ac:dyDescent="0.2">
      <c r="A343" t="s">
        <v>343</v>
      </c>
      <c r="B343" t="str" cm="1">
        <f t="array" ref="B343">TEXT(1234.5678,"0.00_);[Red]-0.00 ")</f>
        <v xml:space="preserve">1234.57 </v>
      </c>
    </row>
    <row r="344" spans="1:2" ht="15" x14ac:dyDescent="0.2">
      <c r="A344" t="s">
        <v>344</v>
      </c>
      <c r="B344" t="str" cm="1">
        <f t="array" ref="B344">TEXT(-1234.5678,"General")</f>
        <v>-1234.5678</v>
      </c>
    </row>
    <row r="345" spans="1:2" ht="15" x14ac:dyDescent="0.2">
      <c r="A345" t="s">
        <v>345</v>
      </c>
      <c r="B345" t="str" cm="1">
        <f t="array" ref="B345">TEXT(-1234.5678,"0")</f>
        <v>-1235</v>
      </c>
    </row>
    <row r="346" spans="1:2" ht="15" x14ac:dyDescent="0.2">
      <c r="A346" t="s">
        <v>346</v>
      </c>
      <c r="B346" t="str" cm="1">
        <f t="array" ref="B346">TEXT(-1234.5678,"0.00")</f>
        <v>-1234.57</v>
      </c>
    </row>
    <row r="347" spans="1:2" ht="15" x14ac:dyDescent="0.2">
      <c r="A347" t="s">
        <v>347</v>
      </c>
      <c r="B347" t="str" cm="1">
        <f t="array" ref="B347">TEXT(-1234.5678,"#,##0")</f>
        <v>-1,235</v>
      </c>
    </row>
    <row r="348" spans="1:2" ht="15" x14ac:dyDescent="0.2">
      <c r="A348" t="s">
        <v>348</v>
      </c>
      <c r="B348" t="str" cm="1">
        <f t="array" ref="B348">TEXT(-1234.5678,"#,##0.00")</f>
        <v>-1,234.57</v>
      </c>
    </row>
    <row r="349" spans="1:2" ht="15" x14ac:dyDescent="0.2">
      <c r="A349" t="s">
        <v>349</v>
      </c>
      <c r="B349" t="str" cm="1">
        <f t="array" ref="B349">TEXT(-1234.5678,"#,##0.000")</f>
        <v>-1,234.568</v>
      </c>
    </row>
    <row r="350" spans="1:2" ht="15" x14ac:dyDescent="0.2">
      <c r="A350" t="s">
        <v>350</v>
      </c>
      <c r="B350" t="str" cm="1">
        <f t="array" ref="B350">TEXT(-1234.5678,"0%")</f>
        <v>-123457%</v>
      </c>
    </row>
    <row r="351" spans="1:2" ht="15" x14ac:dyDescent="0.2">
      <c r="A351" t="s">
        <v>351</v>
      </c>
      <c r="B351" t="str" cm="1">
        <f t="array" ref="B351">TEXT(-1234.5678,"0.00%")</f>
        <v>-123456.78%</v>
      </c>
    </row>
    <row r="352" spans="1:2" ht="15" x14ac:dyDescent="0.2">
      <c r="A352" t="s">
        <v>352</v>
      </c>
      <c r="B352" t="str" cm="1">
        <f t="array" ref="B352">TEXT(-1234.5678,"0.00E+00")</f>
        <v>-1.23E+03</v>
      </c>
    </row>
    <row r="353" spans="1:2" ht="15" x14ac:dyDescent="0.2">
      <c r="A353" t="s">
        <v>353</v>
      </c>
      <c r="B353" t="str" cm="1">
        <f t="array" ref="B353">TEXT(-1234.5678,"##0.0E+0")</f>
        <v>-1.2E+3</v>
      </c>
    </row>
    <row r="354" spans="1:2" ht="15" x14ac:dyDescent="0.2">
      <c r="A354" t="s">
        <v>354</v>
      </c>
      <c r="B354" t="str" cm="1">
        <f t="array" ref="B354">TEXT(-1234.5678,"0.0E+0")</f>
        <v>-1.2E+3</v>
      </c>
    </row>
    <row r="355" spans="1:2" ht="15" x14ac:dyDescent="0.2">
      <c r="A355" t="s">
        <v>355</v>
      </c>
      <c r="B355" t="str" cm="1">
        <f t="array" ref="B355">TEXT(-1234.5678,"# ?/?")</f>
        <v>-1234 4/7</v>
      </c>
    </row>
    <row r="356" spans="1:2" ht="15" x14ac:dyDescent="0.2">
      <c r="A356" t="s">
        <v>356</v>
      </c>
      <c r="B356" t="str" cm="1">
        <f t="array" ref="B356">TEXT(-1234.5678,"# ??/??")</f>
        <v>-1234 46/81</v>
      </c>
    </row>
    <row r="357" spans="1:2" ht="15" x14ac:dyDescent="0.2">
      <c r="A357" t="s">
        <v>357</v>
      </c>
      <c r="B357" t="str" cm="1">
        <f t="array" ref="B357">TEXT(-1234.5678,"?/?")</f>
        <v>-8642/7</v>
      </c>
    </row>
    <row r="358" spans="1:2" ht="15" x14ac:dyDescent="0.2">
      <c r="A358" t="s">
        <v>358</v>
      </c>
      <c r="B358" t="str" cm="1">
        <f t="array" ref="B358">TEXT(-1234.5678,"# ?/8")</f>
        <v>-1234 5/8</v>
      </c>
    </row>
    <row r="359" spans="1:2" ht="15" x14ac:dyDescent="0.2">
      <c r="A359" t="s">
        <v>359</v>
      </c>
      <c r="B359" t="e" cm="1">
        <f t="array" ref="B359">TEXT(-1234.5678,"?/100")</f>
        <v>#VALUE!</v>
      </c>
    </row>
    <row r="360" spans="1:2" ht="15" x14ac:dyDescent="0.2">
      <c r="A360" t="s">
        <v>360</v>
      </c>
      <c r="B360" t="str" cm="1">
        <f t="array" ref="B360">TEXT(-1234.5678,"""$""#,##0.00")</f>
        <v>-$1,234.57</v>
      </c>
    </row>
    <row r="361" spans="1:2" ht="15" x14ac:dyDescent="0.2">
      <c r="A361" t="s">
        <v>361</v>
      </c>
      <c r="B361" t="str" cm="1">
        <f t="array" ref="B361">TEXT(-1234.5678,"#,##0.00;[Red](#,##0.00)")</f>
        <v>(1,234.57)</v>
      </c>
    </row>
    <row r="362" spans="1:2" ht="15" x14ac:dyDescent="0.2">
      <c r="A362" t="s">
        <v>362</v>
      </c>
      <c r="B362" t="str" cm="1">
        <f t="array" ref="B362">TEXT(-1234.5678,"0.0;-0.0;""zero""")</f>
        <v>-1234.6</v>
      </c>
    </row>
    <row r="363" spans="1:2" ht="15" x14ac:dyDescent="0.2">
      <c r="A363" t="s">
        <v>363</v>
      </c>
      <c r="B363" t="str" cm="1">
        <f t="array" ref="B363">TEXT(-1234.5678,"0;(0);-")</f>
        <v>(1235)</v>
      </c>
    </row>
    <row r="364" spans="1:2" ht="15" x14ac:dyDescent="0.2">
      <c r="A364" t="s">
        <v>364</v>
      </c>
      <c r="B364" t="str" cm="1">
        <f t="array" ref="B364">TEXT(-1234.5678,"[&gt;=100]0;[&lt;0]""neg"";""small""")</f>
        <v>neg</v>
      </c>
    </row>
    <row r="365" spans="1:2" ht="15" x14ac:dyDescent="0.2">
      <c r="A365" t="s">
        <v>365</v>
      </c>
      <c r="B365" t="str" cm="1">
        <f t="array" ref="B365">TEXT(-1234.5678,"#,##0,")</f>
        <v>-1</v>
      </c>
    </row>
    <row r="366" spans="1:2" ht="15" x14ac:dyDescent="0.2">
      <c r="A366" t="s">
        <v>366</v>
      </c>
      <c r="B366" t="str" cm="1">
        <f t="array" ref="B366">TEXT(-1234.5678,"0.0,,""M""")</f>
        <v>0.0M</v>
      </c>
    </row>
    <row r="367" spans="1:2" ht="15" x14ac:dyDescent="0.2">
      <c r="A367" t="s">
        <v>367</v>
      </c>
      <c r="B367" t="str" cm="1">
        <f t="array" ref="B367">TEXT(-1234.5678,"000-00-0000")</f>
        <v>-000-00-1235</v>
      </c>
    </row>
    <row r="368" spans="1:2" ht="15" x14ac:dyDescent="0.2">
      <c r="A368" t="s">
        <v>368</v>
      </c>
      <c r="B368" t="str" cm="1">
        <f t="array" ref="B368">TEXT(-1234.5678,"00000")</f>
        <v>-01235</v>
      </c>
    </row>
    <row r="369" spans="1:2" ht="15" x14ac:dyDescent="0.2">
      <c r="A369" t="s">
        <v>369</v>
      </c>
      <c r="B369" t="str" cm="1">
        <f t="array" ref="B369">TEXT(-1234.5678,"#.##")</f>
        <v>-1234.57</v>
      </c>
    </row>
    <row r="370" spans="1:2" ht="15" x14ac:dyDescent="0.2">
      <c r="A370" t="s">
        <v>370</v>
      </c>
      <c r="B370" t="str" cm="1">
        <f t="array" ref="B370">TEXT(-1234.5678,"0.#")</f>
        <v>-1234.6</v>
      </c>
    </row>
    <row r="371" spans="1:2" ht="15" x14ac:dyDescent="0.2">
      <c r="A371" t="s">
        <v>371</v>
      </c>
      <c r="B371" t="str" cm="1">
        <f t="array" ref="B371">TEXT(-1234.5678,"?.??")</f>
        <v>-1234.57</v>
      </c>
    </row>
    <row r="372" spans="1:2" ht="15" x14ac:dyDescent="0.2">
      <c r="A372" t="s">
        <v>372</v>
      </c>
      <c r="B372" t="str" cm="1">
        <f t="array" ref="B372">TEXT(-1234.5678,"0.00?")</f>
        <v>-1234.568</v>
      </c>
    </row>
    <row r="373" spans="1:2" ht="15" x14ac:dyDescent="0.2">
      <c r="A373" t="s">
        <v>373</v>
      </c>
      <c r="B373" t="str" cm="1">
        <f t="array" ref="B373">TEXT(-1234.5678,"#,##0_);(#,##0)")</f>
        <v>(1,235)</v>
      </c>
    </row>
    <row r="374" spans="1:2" ht="15" x14ac:dyDescent="0.2">
      <c r="A374" t="s">
        <v>374</v>
      </c>
      <c r="B374" t="str" cm="1">
        <f t="array" ref="B374">TEXT(-1234.5678,"$#,##0")</f>
        <v>-$1,235</v>
      </c>
    </row>
    <row r="375" spans="1:2" ht="15" x14ac:dyDescent="0.2">
      <c r="A375" t="s">
        <v>375</v>
      </c>
      <c r="B375" t="str" cm="1">
        <f t="array" ref="B375">TEXT(-1234.5678,"""Total: ""0")</f>
        <v>-Total: 1235</v>
      </c>
    </row>
    <row r="376" spans="1:2" ht="15" x14ac:dyDescent="0.2">
      <c r="A376" t="s">
        <v>376</v>
      </c>
      <c r="B376" t="str" cm="1">
        <f t="array" ref="B376">TEXT(-1234.5678,"0 ""units""")</f>
        <v>-1235 units</v>
      </c>
    </row>
    <row r="377" spans="1:2" ht="15" x14ac:dyDescent="0.2">
      <c r="A377" t="s">
        <v>377</v>
      </c>
      <c r="B377" t="str" cm="1">
        <f t="array" ref="B377">TEXT(-1234.5678,"\#0")</f>
        <v>-#1235</v>
      </c>
    </row>
    <row r="378" spans="1:2" ht="15" x14ac:dyDescent="0.2">
      <c r="A378" t="s">
        <v>378</v>
      </c>
      <c r="B378" t="str" cm="1">
        <f t="array" ref="B378">TEXT(-1234.5678,"@")</f>
        <v>-1234.5678</v>
      </c>
    </row>
    <row r="379" spans="1:2" ht="15" x14ac:dyDescent="0.2">
      <c r="A379" t="s">
        <v>379</v>
      </c>
      <c r="B379" t="str" cm="1">
        <f t="array" ref="B379">TEXT(-1234.5678,"0;@")</f>
        <v>-1235</v>
      </c>
    </row>
    <row r="380" spans="1:2" ht="15" x14ac:dyDescent="0.2">
      <c r="A380" t="s">
        <v>380</v>
      </c>
      <c r="B380" t="e" cm="1">
        <f t="array" ref="B380">TEXT(-1234.5678,"m/d/yyyy")</f>
        <v>#VALUE!</v>
      </c>
    </row>
    <row r="381" spans="1:2" ht="15" x14ac:dyDescent="0.2">
      <c r="A381" t="s">
        <v>381</v>
      </c>
      <c r="B381" t="e" cm="1">
        <f t="array" ref="B381">TEXT(-1234.5678,"d-mmm-yy")</f>
        <v>#VALUE!</v>
      </c>
    </row>
    <row r="382" spans="1:2" ht="15" x14ac:dyDescent="0.2">
      <c r="A382" t="s">
        <v>382</v>
      </c>
      <c r="B382" t="e" cm="1">
        <f t="array" ref="B382">TEXT(-1234.5678,"mmmm d, yyyy")</f>
        <v>#VALUE!</v>
      </c>
    </row>
    <row r="383" spans="1:2" ht="15" x14ac:dyDescent="0.2">
      <c r="A383" t="s">
        <v>383</v>
      </c>
      <c r="B383" t="e" cm="1">
        <f t="array" ref="B383">TEXT(-1234.5678,"dddd")</f>
        <v>#VALUE!</v>
      </c>
    </row>
    <row r="384" spans="1:2" ht="15" x14ac:dyDescent="0.2">
      <c r="A384" t="s">
        <v>384</v>
      </c>
      <c r="B384" t="e" cm="1">
        <f t="array" ref="B384">TEXT(-1234.5678,"ddd, mmm d")</f>
        <v>#VALUE!</v>
      </c>
    </row>
    <row r="385" spans="1:2" ht="15" x14ac:dyDescent="0.2">
      <c r="A385" t="s">
        <v>385</v>
      </c>
      <c r="B385" t="e" cm="1">
        <f t="array" ref="B385">TEXT(-1234.5678,"mmmmm")</f>
        <v>#VALUE!</v>
      </c>
    </row>
    <row r="386" spans="1:2" ht="15" x14ac:dyDescent="0.2">
      <c r="A386" t="s">
        <v>386</v>
      </c>
      <c r="B386" t="e" cm="1">
        <f t="array" ref="B386">TEXT(-1234.5678,"yy")</f>
        <v>#VALUE!</v>
      </c>
    </row>
    <row r="387" spans="1:2" ht="15" x14ac:dyDescent="0.2">
      <c r="A387" t="s">
        <v>387</v>
      </c>
      <c r="B387" t="e" cm="1">
        <f t="array" ref="B387">TEXT(-1234.5678,"h:mm")</f>
        <v>#VALUE!</v>
      </c>
    </row>
    <row r="388" spans="1:2" ht="15" x14ac:dyDescent="0.2">
      <c r="A388" t="s">
        <v>388</v>
      </c>
      <c r="B388" t="e" cm="1">
        <f t="array" ref="B388">TEXT(-1234.5678,"h:mm:ss")</f>
        <v>#VALUE!</v>
      </c>
    </row>
    <row r="389" spans="1:2" ht="15" x14ac:dyDescent="0.2">
      <c r="A389" t="s">
        <v>389</v>
      </c>
      <c r="B389" t="e" cm="1">
        <f t="array" ref="B389">TEXT(-1234.5678,"h:mm AM/PM")</f>
        <v>#VALUE!</v>
      </c>
    </row>
    <row r="390" spans="1:2" ht="15" x14ac:dyDescent="0.2">
      <c r="A390" t="s">
        <v>390</v>
      </c>
      <c r="B390" t="e" cm="1">
        <f t="array" ref="B390">TEXT(-1234.5678,"hh:mm:ss a/p")</f>
        <v>#VALUE!</v>
      </c>
    </row>
    <row r="391" spans="1:2" ht="15" x14ac:dyDescent="0.2">
      <c r="A391" t="s">
        <v>391</v>
      </c>
      <c r="B391" t="e" cm="1">
        <f t="array" ref="B391">TEXT(-1234.5678,"[h]:mm:ss")</f>
        <v>#VALUE!</v>
      </c>
    </row>
    <row r="392" spans="1:2" ht="15" x14ac:dyDescent="0.2">
      <c r="A392" t="s">
        <v>392</v>
      </c>
      <c r="B392" t="e" cm="1">
        <f t="array" ref="B392">TEXT(-1234.5678,"[mm]:ss")</f>
        <v>#VALUE!</v>
      </c>
    </row>
    <row r="393" spans="1:2" ht="15" x14ac:dyDescent="0.2">
      <c r="A393" t="s">
        <v>393</v>
      </c>
      <c r="B393" t="e" cm="1">
        <f t="array" ref="B393">TEXT(-1234.5678,"mm:ss.0")</f>
        <v>#VALUE!</v>
      </c>
    </row>
    <row r="394" spans="1:2" ht="15" x14ac:dyDescent="0.2">
      <c r="A394" t="s">
        <v>394</v>
      </c>
      <c r="B394" t="e" cm="1">
        <f t="array" ref="B394">TEXT(-1234.5678,"h:mm:ss.000")</f>
        <v>#VALUE!</v>
      </c>
    </row>
    <row r="395" spans="1:2" ht="15" x14ac:dyDescent="0.2">
      <c r="A395" t="s">
        <v>395</v>
      </c>
      <c r="B395" t="e" cm="1">
        <f t="array" ref="B395">TEXT(-1234.5678,"yyyy-mm-dd hh:mm")</f>
        <v>#VALUE!</v>
      </c>
    </row>
    <row r="396" spans="1:2" ht="15" x14ac:dyDescent="0.2">
      <c r="A396" t="s">
        <v>396</v>
      </c>
      <c r="B396" t="e" cm="1">
        <f t="array" ref="B396">TEXT(-1234.5678,"m/d/yyyy h:mm")</f>
        <v>#VALUE!</v>
      </c>
    </row>
    <row r="397" spans="1:2" ht="15" x14ac:dyDescent="0.2">
      <c r="A397" t="s">
        <v>397</v>
      </c>
      <c r="B397" t="e" cm="1">
        <f t="array" ref="B397">TEXT(-1234.5678,"[$-409]mmmm d, yyyy")</f>
        <v>#VALUE!</v>
      </c>
    </row>
    <row r="398" spans="1:2" ht="15" x14ac:dyDescent="0.2">
      <c r="A398" t="s">
        <v>398</v>
      </c>
      <c r="B398" t="str" cm="1">
        <f t="array" ref="B398">TEXT(-1234.5678,"[$€-407] #,##0.00")</f>
        <v>-€ 1,234.57</v>
      </c>
    </row>
    <row r="399" spans="1:2" ht="15" x14ac:dyDescent="0.2">
      <c r="A399" t="s">
        <v>399</v>
      </c>
      <c r="B399" t="str" cm="1">
        <f t="array" ref="B399">TEXT(-1234.5678,"General"" kg""")</f>
        <v>-1234.5678 kg</v>
      </c>
    </row>
    <row r="400" spans="1:2" ht="15" x14ac:dyDescent="0.2">
      <c r="A400" t="s">
        <v>400</v>
      </c>
      <c r="B400" t="str" cm="1">
        <f t="array" ref="B400">TEXT(-1234.5678,"0.00_);[Red]-0.00 ")</f>
        <v xml:space="preserve">-1234.57 </v>
      </c>
    </row>
    <row r="401" spans="1:2" ht="15" x14ac:dyDescent="0.2">
      <c r="A401" t="s">
        <v>401</v>
      </c>
      <c r="B401" t="str" cm="1">
        <f t="array" ref="B401">TEXT(0.001234,"General")</f>
        <v>0.001234</v>
      </c>
    </row>
    <row r="402" spans="1:2" ht="15" x14ac:dyDescent="0.2">
      <c r="A402" t="s">
        <v>402</v>
      </c>
      <c r="B402" t="str" cm="1">
        <f t="array" ref="B402">TEXT(0.001234,"0")</f>
        <v>0</v>
      </c>
    </row>
    <row r="403" spans="1:2" ht="15" x14ac:dyDescent="0.2">
      <c r="A403" t="s">
        <v>403</v>
      </c>
      <c r="B403" t="str" cm="1">
        <f t="array" ref="B403">TEXT(0.001234,"0.00")</f>
        <v>0.00</v>
      </c>
    </row>
    <row r="404" spans="1:2" ht="15" x14ac:dyDescent="0.2">
      <c r="A404" t="s">
        <v>404</v>
      </c>
      <c r="B404" t="str" cm="1">
        <f t="array" ref="B404">TEXT(0.001234,"#,##0")</f>
        <v>0</v>
      </c>
    </row>
    <row r="405" spans="1:2" ht="15" x14ac:dyDescent="0.2">
      <c r="A405" t="s">
        <v>405</v>
      </c>
      <c r="B405" t="str" cm="1">
        <f t="array" ref="B405">TEXT(0.001234,"#,##0.00")</f>
        <v>0.00</v>
      </c>
    </row>
    <row r="406" spans="1:2" ht="15" x14ac:dyDescent="0.2">
      <c r="A406" t="s">
        <v>406</v>
      </c>
      <c r="B406" t="str" cm="1">
        <f t="array" ref="B406">TEXT(0.001234,"#,##0.000")</f>
        <v>0.001</v>
      </c>
    </row>
    <row r="407" spans="1:2" ht="15" x14ac:dyDescent="0.2">
      <c r="A407" t="s">
        <v>407</v>
      </c>
      <c r="B407" t="str" cm="1">
        <f t="array" ref="B407">TEXT(0.001234,"0%")</f>
        <v>0%</v>
      </c>
    </row>
    <row r="408" spans="1:2" ht="15" x14ac:dyDescent="0.2">
      <c r="A408" t="s">
        <v>408</v>
      </c>
      <c r="B408" t="str" cm="1">
        <f t="array" ref="B408">TEXT(0.001234,"0.00%")</f>
        <v>0.12%</v>
      </c>
    </row>
    <row r="409" spans="1:2" ht="15" x14ac:dyDescent="0.2">
      <c r="A409" t="s">
        <v>409</v>
      </c>
      <c r="B409" t="str" cm="1">
        <f t="array" ref="B409">TEXT(0.001234,"0.00E+00")</f>
        <v>1.23E-03</v>
      </c>
    </row>
    <row r="410" spans="1:2" ht="15" x14ac:dyDescent="0.2">
      <c r="A410" t="s">
        <v>410</v>
      </c>
      <c r="B410" t="str" cm="1">
        <f t="array" ref="B410">TEXT(0.001234,"##0.0E+0")</f>
        <v>1.2E-3</v>
      </c>
    </row>
    <row r="411" spans="1:2" ht="15" x14ac:dyDescent="0.2">
      <c r="A411" t="s">
        <v>411</v>
      </c>
      <c r="B411" t="str" cm="1">
        <f t="array" ref="B411">TEXT(0.001234,"0.0E+0")</f>
        <v>1.2E-3</v>
      </c>
    </row>
    <row r="412" spans="1:2" ht="15" x14ac:dyDescent="0.2">
      <c r="A412" t="s">
        <v>412</v>
      </c>
      <c r="B412" t="str" cm="1">
        <f t="array" ref="B412">TEXT(0.001234,"# ?/?")</f>
        <v xml:space="preserve">0    </v>
      </c>
    </row>
    <row r="413" spans="1:2" ht="15" x14ac:dyDescent="0.2">
      <c r="A413" t="s">
        <v>413</v>
      </c>
      <c r="B413" t="str" cm="1">
        <f t="array" ref="B413">TEXT(0.001234,"# ??/??")</f>
        <v xml:space="preserve">0      </v>
      </c>
    </row>
    <row r="414" spans="1:2" ht="15" x14ac:dyDescent="0.2">
      <c r="A414" t="s">
        <v>414</v>
      </c>
      <c r="B414" t="str" cm="1">
        <f t="array" ref="B414">TEXT(0.001234,"?/?")</f>
        <v>0/1</v>
      </c>
    </row>
    <row r="415" spans="1:2" ht="15" x14ac:dyDescent="0.2">
      <c r="A415" t="s">
        <v>415</v>
      </c>
      <c r="B415" t="str" cm="1">
        <f t="array" ref="B415">TEXT(0.001234,"# ?/8")</f>
        <v xml:space="preserve">0    </v>
      </c>
    </row>
    <row r="416" spans="1:2" ht="15" x14ac:dyDescent="0.2">
      <c r="A416" t="s">
        <v>416</v>
      </c>
      <c r="B416" t="str" cm="1">
        <f t="array" ref="B416">TEXT(0.001234,"?/100")</f>
        <v>0/100</v>
      </c>
    </row>
    <row r="417" spans="1:2" ht="15" x14ac:dyDescent="0.2">
      <c r="A417" t="s">
        <v>417</v>
      </c>
      <c r="B417" t="str" cm="1">
        <f t="array" ref="B417">TEXT(0.001234,"""$""#,##0.00")</f>
        <v>$0.00</v>
      </c>
    </row>
    <row r="418" spans="1:2" ht="15" x14ac:dyDescent="0.2">
      <c r="A418" t="s">
        <v>418</v>
      </c>
      <c r="B418" t="str" cm="1">
        <f t="array" ref="B418">TEXT(0.001234,"#,##0.00;[Red](#,##0.00)")</f>
        <v>0.00</v>
      </c>
    </row>
    <row r="419" spans="1:2" ht="15" x14ac:dyDescent="0.2">
      <c r="A419" t="s">
        <v>419</v>
      </c>
      <c r="B419" t="str" cm="1">
        <f t="array" ref="B419">TEXT(0.001234,"0.0;-0.0;""zero""")</f>
        <v>0.0</v>
      </c>
    </row>
    <row r="420" spans="1:2" ht="15" x14ac:dyDescent="0.2">
      <c r="A420" t="s">
        <v>420</v>
      </c>
      <c r="B420" t="str" cm="1">
        <f t="array" ref="B420">TEXT(0.001234,"0;(0);-")</f>
        <v>0</v>
      </c>
    </row>
    <row r="421" spans="1:2" ht="15" x14ac:dyDescent="0.2">
      <c r="A421" t="s">
        <v>421</v>
      </c>
      <c r="B421" t="str" cm="1">
        <f t="array" ref="B421">TEXT(0.001234,"[&gt;=100]0;[&lt;0]""neg"";""small""")</f>
        <v>small</v>
      </c>
    </row>
    <row r="422" spans="1:2" ht="15" x14ac:dyDescent="0.2">
      <c r="A422" t="s">
        <v>422</v>
      </c>
      <c r="B422" t="str" cm="1">
        <f t="array" ref="B422">TEXT(0.001234,"#,##0,")</f>
        <v>0</v>
      </c>
    </row>
    <row r="423" spans="1:2" ht="15" x14ac:dyDescent="0.2">
      <c r="A423" t="s">
        <v>423</v>
      </c>
      <c r="B423" t="str" cm="1">
        <f t="array" ref="B423">TEXT(0.001234,"0.0,,""M""")</f>
        <v>0.0M</v>
      </c>
    </row>
    <row r="424" spans="1:2" ht="15" x14ac:dyDescent="0.2">
      <c r="A424" t="s">
        <v>424</v>
      </c>
      <c r="B424" t="str" cm="1">
        <f t="array" ref="B424">TEXT(0.001234,"000-00-0000")</f>
        <v>000-00-0000</v>
      </c>
    </row>
    <row r="425" spans="1:2" ht="15" x14ac:dyDescent="0.2">
      <c r="A425" t="s">
        <v>425</v>
      </c>
      <c r="B425" t="str" cm="1">
        <f t="array" ref="B425">TEXT(0.001234,"00000")</f>
        <v>00000</v>
      </c>
    </row>
    <row r="426" spans="1:2" ht="15" x14ac:dyDescent="0.2">
      <c r="A426" t="s">
        <v>426</v>
      </c>
      <c r="B426" t="str" cm="1">
        <f t="array" ref="B426">TEXT(0.001234,"#.##")</f>
        <v>.</v>
      </c>
    </row>
    <row r="427" spans="1:2" ht="15" x14ac:dyDescent="0.2">
      <c r="A427" t="s">
        <v>427</v>
      </c>
      <c r="B427" t="str" cm="1">
        <f t="array" ref="B427">TEXT(0.001234,"0.#")</f>
        <v>0.</v>
      </c>
    </row>
    <row r="428" spans="1:2" ht="15" x14ac:dyDescent="0.2">
      <c r="A428" t="s">
        <v>428</v>
      </c>
      <c r="B428" t="str" cm="1">
        <f t="array" ref="B428">TEXT(0.001234,"?.??")</f>
        <v xml:space="preserve"> .  </v>
      </c>
    </row>
    <row r="429" spans="1:2" ht="15" x14ac:dyDescent="0.2">
      <c r="A429" t="s">
        <v>429</v>
      </c>
      <c r="B429" t="str" cm="1">
        <f t="array" ref="B429">TEXT(0.001234,"0.00?")</f>
        <v>0.001</v>
      </c>
    </row>
    <row r="430" spans="1:2" ht="15" x14ac:dyDescent="0.2">
      <c r="A430" t="s">
        <v>430</v>
      </c>
      <c r="B430" t="str" cm="1">
        <f t="array" ref="B430">TEXT(0.001234,"#,##0_);(#,##0)")</f>
        <v xml:space="preserve">0 </v>
      </c>
    </row>
    <row r="431" spans="1:2" ht="15" x14ac:dyDescent="0.2">
      <c r="A431" t="s">
        <v>431</v>
      </c>
      <c r="B431" t="str" cm="1">
        <f t="array" ref="B431">TEXT(0.001234,"$#,##0")</f>
        <v>$0</v>
      </c>
    </row>
    <row r="432" spans="1:2" ht="15" x14ac:dyDescent="0.2">
      <c r="A432" t="s">
        <v>432</v>
      </c>
      <c r="B432" t="str" cm="1">
        <f t="array" ref="B432">TEXT(0.001234,"""Total: ""0")</f>
        <v>Total: 0</v>
      </c>
    </row>
    <row r="433" spans="1:2" ht="15" x14ac:dyDescent="0.2">
      <c r="A433" t="s">
        <v>433</v>
      </c>
      <c r="B433" t="str" cm="1">
        <f t="array" ref="B433">TEXT(0.001234,"0 ""units""")</f>
        <v>0 units</v>
      </c>
    </row>
    <row r="434" spans="1:2" ht="15" x14ac:dyDescent="0.2">
      <c r="A434" t="s">
        <v>434</v>
      </c>
      <c r="B434" t="str" cm="1">
        <f t="array" ref="B434">TEXT(0.001234,"\#0")</f>
        <v>#0</v>
      </c>
    </row>
    <row r="435" spans="1:2" ht="15" x14ac:dyDescent="0.2">
      <c r="A435" t="s">
        <v>435</v>
      </c>
      <c r="B435" t="str" cm="1">
        <f t="array" ref="B435">TEXT(0.001234,"@")</f>
        <v>0.001234</v>
      </c>
    </row>
    <row r="436" spans="1:2" ht="15" x14ac:dyDescent="0.2">
      <c r="A436" t="s">
        <v>436</v>
      </c>
      <c r="B436" t="str" cm="1">
        <f t="array" ref="B436">TEXT(0.001234,"0;@")</f>
        <v>0</v>
      </c>
    </row>
    <row r="437" spans="1:2" ht="15" x14ac:dyDescent="0.2">
      <c r="A437" t="s">
        <v>437</v>
      </c>
      <c r="B437" t="str" cm="1">
        <f t="array" ref="B437">TEXT(0.001234,"m/d/yyyy")</f>
        <v>1/0/1900</v>
      </c>
    </row>
    <row r="438" spans="1:2" ht="15" x14ac:dyDescent="0.2">
      <c r="A438" t="s">
        <v>438</v>
      </c>
      <c r="B438" t="str" cm="1">
        <f t="array" ref="B438">TEXT(0.001234,"d-mmm-yy")</f>
        <v>0-Jan-00</v>
      </c>
    </row>
    <row r="439" spans="1:2" ht="15" x14ac:dyDescent="0.2">
      <c r="A439" t="s">
        <v>439</v>
      </c>
      <c r="B439" t="str" cm="1">
        <f t="array" ref="B439">TEXT(0.001234,"mmmm d, yyyy")</f>
        <v>January 0, 1900</v>
      </c>
    </row>
    <row r="440" spans="1:2" ht="15" x14ac:dyDescent="0.2">
      <c r="A440" t="s">
        <v>440</v>
      </c>
      <c r="B440" t="str" cm="1">
        <f t="array" ref="B440">TEXT(0.001234,"dddd")</f>
        <v>Saturday</v>
      </c>
    </row>
    <row r="441" spans="1:2" ht="15" x14ac:dyDescent="0.2">
      <c r="A441" t="s">
        <v>441</v>
      </c>
      <c r="B441" t="str" cm="1">
        <f t="array" ref="B441">TEXT(0.001234,"ddd, mmm d")</f>
        <v>Sat, Jan 0</v>
      </c>
    </row>
    <row r="442" spans="1:2" ht="15" x14ac:dyDescent="0.2">
      <c r="A442" t="s">
        <v>442</v>
      </c>
      <c r="B442" t="str" cm="1">
        <f t="array" ref="B442">TEXT(0.001234,"mmmmm")</f>
        <v>J</v>
      </c>
    </row>
    <row r="443" spans="1:2" ht="15" x14ac:dyDescent="0.2">
      <c r="A443" t="s">
        <v>443</v>
      </c>
      <c r="B443" t="str" cm="1">
        <f t="array" ref="B443">TEXT(0.001234,"yy")</f>
        <v>00</v>
      </c>
    </row>
    <row r="444" spans="1:2" ht="15" x14ac:dyDescent="0.2">
      <c r="A444" t="s">
        <v>444</v>
      </c>
      <c r="B444" t="str" cm="1">
        <f t="array" ref="B444">TEXT(0.001234,"h:mm")</f>
        <v>0:01</v>
      </c>
    </row>
    <row r="445" spans="1:2" ht="15" x14ac:dyDescent="0.2">
      <c r="A445" t="s">
        <v>445</v>
      </c>
      <c r="B445" t="str" cm="1">
        <f t="array" ref="B445">TEXT(0.001234,"h:mm:ss")</f>
        <v>0:01:47</v>
      </c>
    </row>
    <row r="446" spans="1:2" ht="15" x14ac:dyDescent="0.2">
      <c r="A446" t="s">
        <v>446</v>
      </c>
      <c r="B446" t="str" cm="1">
        <f t="array" ref="B446">TEXT(0.001234,"h:mm AM/PM")</f>
        <v>12:01 AM</v>
      </c>
    </row>
    <row r="447" spans="1:2" ht="15" x14ac:dyDescent="0.2">
      <c r="A447" t="s">
        <v>447</v>
      </c>
      <c r="B447" t="str" cm="1">
        <f t="array" ref="B447">TEXT(0.001234,"hh:mm:ss a/p")</f>
        <v>12:01:47 a</v>
      </c>
    </row>
    <row r="448" spans="1:2" ht="15" x14ac:dyDescent="0.2">
      <c r="A448" t="s">
        <v>448</v>
      </c>
      <c r="B448" t="str" cm="1">
        <f t="array" ref="B448">TEXT(0.001234,"[h]:mm:ss")</f>
        <v>0:01:47</v>
      </c>
    </row>
    <row r="449" spans="1:2" ht="15" x14ac:dyDescent="0.2">
      <c r="A449" t="s">
        <v>449</v>
      </c>
      <c r="B449" t="str" cm="1">
        <f t="array" ref="B449">TEXT(0.001234,"[mm]:ss")</f>
        <v>01:47</v>
      </c>
    </row>
    <row r="450" spans="1:2" ht="15" x14ac:dyDescent="0.2">
      <c r="A450" t="s">
        <v>450</v>
      </c>
      <c r="B450" t="str" cm="1">
        <f t="array" ref="B450">TEXT(0.001234,"mm:ss.0")</f>
        <v>01:46.6</v>
      </c>
    </row>
    <row r="451" spans="1:2" ht="15" x14ac:dyDescent="0.2">
      <c r="A451" t="s">
        <v>451</v>
      </c>
      <c r="B451" t="str" cm="1">
        <f t="array" ref="B451">TEXT(0.001234,"h:mm:ss.000")</f>
        <v>0:01:46.618</v>
      </c>
    </row>
    <row r="452" spans="1:2" ht="15" x14ac:dyDescent="0.2">
      <c r="A452" t="s">
        <v>452</v>
      </c>
      <c r="B452" t="str" cm="1">
        <f t="array" ref="B452">TEXT(0.001234,"yyyy-mm-dd hh:mm")</f>
        <v>1900-01-00 00:01</v>
      </c>
    </row>
    <row r="453" spans="1:2" ht="15" x14ac:dyDescent="0.2">
      <c r="A453" t="s">
        <v>453</v>
      </c>
      <c r="B453" t="str" cm="1">
        <f t="array" ref="B453">TEXT(0.001234,"m/d/yyyy h:mm")</f>
        <v>1/0/1900 0:01</v>
      </c>
    </row>
    <row r="454" spans="1:2" ht="15" x14ac:dyDescent="0.2">
      <c r="A454" t="s">
        <v>454</v>
      </c>
      <c r="B454" t="str" cm="1">
        <f t="array" ref="B454">TEXT(0.001234,"[$-409]mmmm d, yyyy")</f>
        <v>January 0, 1900</v>
      </c>
    </row>
    <row r="455" spans="1:2" ht="15" x14ac:dyDescent="0.2">
      <c r="A455" t="s">
        <v>455</v>
      </c>
      <c r="B455" t="str" cm="1">
        <f t="array" ref="B455">TEXT(0.001234,"[$€-407] #,##0.00")</f>
        <v>€ 0.00</v>
      </c>
    </row>
    <row r="456" spans="1:2" ht="15" x14ac:dyDescent="0.2">
      <c r="A456" t="s">
        <v>456</v>
      </c>
      <c r="B456" t="str" cm="1">
        <f t="array" ref="B456">TEXT(0.001234,"General"" kg""")</f>
        <v>0.001234 kg</v>
      </c>
    </row>
    <row r="457" spans="1:2" ht="15" x14ac:dyDescent="0.2">
      <c r="A457" t="s">
        <v>457</v>
      </c>
      <c r="B457" t="str" cm="1">
        <f t="array" ref="B457">TEXT(0.001234,"0.00_);[Red]-0.00 ")</f>
        <v xml:space="preserve">0.00 </v>
      </c>
    </row>
    <row r="458" spans="1:2" ht="15" x14ac:dyDescent="0.2">
      <c r="A458" t="s">
        <v>458</v>
      </c>
      <c r="B458" t="str" cm="1">
        <f t="array" ref="B458">TEXT(1234567.891,"General")</f>
        <v>1234567.891</v>
      </c>
    </row>
    <row r="459" spans="1:2" ht="15" x14ac:dyDescent="0.2">
      <c r="A459" t="s">
        <v>459</v>
      </c>
      <c r="B459" t="str" cm="1">
        <f t="array" ref="B459">TEXT(1234567.891,"0")</f>
        <v>1234568</v>
      </c>
    </row>
    <row r="460" spans="1:2" ht="15" x14ac:dyDescent="0.2">
      <c r="A460" t="s">
        <v>460</v>
      </c>
      <c r="B460" t="str" cm="1">
        <f t="array" ref="B460">TEXT(1234567.891,"0.00")</f>
        <v>1234567.89</v>
      </c>
    </row>
    <row r="461" spans="1:2" ht="15" x14ac:dyDescent="0.2">
      <c r="A461" t="s">
        <v>461</v>
      </c>
      <c r="B461" t="str" cm="1">
        <f t="array" ref="B461">TEXT(1234567.891,"#,##0")</f>
        <v>1,234,568</v>
      </c>
    </row>
    <row r="462" spans="1:2" ht="15" x14ac:dyDescent="0.2">
      <c r="A462" t="s">
        <v>462</v>
      </c>
      <c r="B462" t="str" cm="1">
        <f t="array" ref="B462">TEXT(1234567.891,"#,##0.00")</f>
        <v>1,234,567.89</v>
      </c>
    </row>
    <row r="463" spans="1:2" ht="15" x14ac:dyDescent="0.2">
      <c r="A463" t="s">
        <v>463</v>
      </c>
      <c r="B463" t="str" cm="1">
        <f t="array" ref="B463">TEXT(1234567.891,"#,##0.000")</f>
        <v>1,234,567.891</v>
      </c>
    </row>
    <row r="464" spans="1:2" ht="15" x14ac:dyDescent="0.2">
      <c r="A464" t="s">
        <v>464</v>
      </c>
      <c r="B464" t="str" cm="1">
        <f t="array" ref="B464">TEXT(1234567.891,"0%")</f>
        <v>123456789%</v>
      </c>
    </row>
    <row r="465" spans="1:2" ht="15" x14ac:dyDescent="0.2">
      <c r="A465" t="s">
        <v>465</v>
      </c>
      <c r="B465" t="str" cm="1">
        <f t="array" ref="B465">TEXT(1234567.891,"0.00%")</f>
        <v>123456789.10%</v>
      </c>
    </row>
    <row r="466" spans="1:2" ht="15" x14ac:dyDescent="0.2">
      <c r="A466" t="s">
        <v>466</v>
      </c>
      <c r="B466" t="str" cm="1">
        <f t="array" ref="B466">TEXT(1234567.891,"0.00E+00")</f>
        <v>1.23E+06</v>
      </c>
    </row>
    <row r="467" spans="1:2" ht="15" x14ac:dyDescent="0.2">
      <c r="A467" t="s">
        <v>467</v>
      </c>
      <c r="B467" t="str" cm="1">
        <f t="array" ref="B467">TEXT(1234567.891,"##0.0E+0")</f>
        <v>1.2E+6</v>
      </c>
    </row>
    <row r="468" spans="1:2" ht="15" x14ac:dyDescent="0.2">
      <c r="A468" t="s">
        <v>468</v>
      </c>
      <c r="B468" t="str" cm="1">
        <f t="array" ref="B468">TEXT(1234567.891,"0.0E+0")</f>
        <v>1.2E+6</v>
      </c>
    </row>
    <row r="469" spans="1:2" ht="15" x14ac:dyDescent="0.2">
      <c r="A469" t="s">
        <v>469</v>
      </c>
      <c r="B469" t="str" cm="1">
        <f t="array" ref="B469">TEXT(1234567.891,"# ?/?")</f>
        <v>1234567 8/9</v>
      </c>
    </row>
    <row r="470" spans="1:2" ht="15" x14ac:dyDescent="0.2">
      <c r="A470" t="s">
        <v>470</v>
      </c>
      <c r="B470" t="str" cm="1">
        <f t="array" ref="B470">TEXT(1234567.891,"# ??/??")</f>
        <v>1234567 49/55</v>
      </c>
    </row>
    <row r="471" spans="1:2" ht="15" x14ac:dyDescent="0.2">
      <c r="A471" t="s">
        <v>471</v>
      </c>
      <c r="B471" t="str" cm="1">
        <f t="array" ref="B471">TEXT(1234567.891,"?/?")</f>
        <v>11111111/9</v>
      </c>
    </row>
    <row r="472" spans="1:2" ht="15" x14ac:dyDescent="0.2">
      <c r="A472" t="s">
        <v>472</v>
      </c>
      <c r="B472" t="str" cm="1">
        <f t="array" ref="B472">TEXT(1234567.891,"# ?/8")</f>
        <v>1234567 7/8</v>
      </c>
    </row>
    <row r="473" spans="1:2" ht="15" x14ac:dyDescent="0.2">
      <c r="A473" t="s">
        <v>473</v>
      </c>
      <c r="B473" t="e" cm="1">
        <f t="array" ref="B473">TEXT(1234567.891,"?/100")</f>
        <v>#VALUE!</v>
      </c>
    </row>
    <row r="474" spans="1:2" ht="15" x14ac:dyDescent="0.2">
      <c r="A474" t="s">
        <v>474</v>
      </c>
      <c r="B474" t="str" cm="1">
        <f t="array" ref="B474">TEXT(1234567.891,"""$""#,##0.00")</f>
        <v>$1,234,567.89</v>
      </c>
    </row>
    <row r="475" spans="1:2" ht="15" x14ac:dyDescent="0.2">
      <c r="A475" t="s">
        <v>475</v>
      </c>
      <c r="B475" t="str" cm="1">
        <f t="array" ref="B475">TEXT(1234567.891,"#,##0.00;[Red](#,##0.00)")</f>
        <v>1,234,567.89</v>
      </c>
    </row>
    <row r="476" spans="1:2" ht="15" x14ac:dyDescent="0.2">
      <c r="A476" t="s">
        <v>476</v>
      </c>
      <c r="B476" t="str" cm="1">
        <f t="array" ref="B476">TEXT(1234567.891,"0.0;-0.0;""zero""")</f>
        <v>1234567.9</v>
      </c>
    </row>
    <row r="477" spans="1:2" ht="15" x14ac:dyDescent="0.2">
      <c r="A477" t="s">
        <v>477</v>
      </c>
      <c r="B477" t="str" cm="1">
        <f t="array" ref="B477">TEXT(1234567.891,"0;(0);-")</f>
        <v>1234568</v>
      </c>
    </row>
    <row r="478" spans="1:2" ht="15" x14ac:dyDescent="0.2">
      <c r="A478" t="s">
        <v>478</v>
      </c>
      <c r="B478" t="str" cm="1">
        <f t="array" ref="B478">TEXT(1234567.891,"[&gt;=100]0;[&lt;0]""neg"";""small""")</f>
        <v>1234568</v>
      </c>
    </row>
    <row r="479" spans="1:2" ht="15" x14ac:dyDescent="0.2">
      <c r="A479" t="s">
        <v>479</v>
      </c>
      <c r="B479" t="str" cm="1">
        <f t="array" ref="B479">TEXT(1234567.891,"#,##0,")</f>
        <v>1,235</v>
      </c>
    </row>
    <row r="480" spans="1:2" ht="15" x14ac:dyDescent="0.2">
      <c r="A480" t="s">
        <v>480</v>
      </c>
      <c r="B480" t="str" cm="1">
        <f t="array" ref="B480">TEXT(1234567.891,"0.0,,""M""")</f>
        <v>1.2M</v>
      </c>
    </row>
    <row r="481" spans="1:2" ht="15" x14ac:dyDescent="0.2">
      <c r="A481" t="s">
        <v>481</v>
      </c>
      <c r="B481" t="str" cm="1">
        <f t="array" ref="B481">TEXT(1234567.891,"000-00-0000")</f>
        <v>001-23-4568</v>
      </c>
    </row>
    <row r="482" spans="1:2" ht="15" x14ac:dyDescent="0.2">
      <c r="A482" t="s">
        <v>482</v>
      </c>
      <c r="B482" t="str" cm="1">
        <f t="array" ref="B482">TEXT(1234567.891,"00000")</f>
        <v>1234568</v>
      </c>
    </row>
    <row r="483" spans="1:2" ht="15" x14ac:dyDescent="0.2">
      <c r="A483" t="s">
        <v>483</v>
      </c>
      <c r="B483" t="str" cm="1">
        <f t="array" ref="B483">TEXT(1234567.891,"#.##")</f>
        <v>1234567.89</v>
      </c>
    </row>
    <row r="484" spans="1:2" ht="15" x14ac:dyDescent="0.2">
      <c r="A484" t="s">
        <v>484</v>
      </c>
      <c r="B484" t="str" cm="1">
        <f t="array" ref="B484">TEXT(1234567.891,"0.#")</f>
        <v>1234567.9</v>
      </c>
    </row>
    <row r="485" spans="1:2" ht="15" x14ac:dyDescent="0.2">
      <c r="A485" t="s">
        <v>485</v>
      </c>
      <c r="B485" t="str" cm="1">
        <f t="array" ref="B485">TEXT(1234567.891,"?.??")</f>
        <v>1234567.89</v>
      </c>
    </row>
    <row r="486" spans="1:2" ht="15" x14ac:dyDescent="0.2">
      <c r="A486" t="s">
        <v>486</v>
      </c>
      <c r="B486" t="str" cm="1">
        <f t="array" ref="B486">TEXT(1234567.891,"0.00?")</f>
        <v>1234567.891</v>
      </c>
    </row>
    <row r="487" spans="1:2" ht="15" x14ac:dyDescent="0.2">
      <c r="A487" t="s">
        <v>487</v>
      </c>
      <c r="B487" t="str" cm="1">
        <f t="array" ref="B487">TEXT(1234567.891,"#,##0_);(#,##0)")</f>
        <v xml:space="preserve">1,234,568 </v>
      </c>
    </row>
    <row r="488" spans="1:2" ht="15" x14ac:dyDescent="0.2">
      <c r="A488" t="s">
        <v>488</v>
      </c>
      <c r="B488" t="str" cm="1">
        <f t="array" ref="B488">TEXT(1234567.891,"$#,##0")</f>
        <v>$1,234,568</v>
      </c>
    </row>
    <row r="489" spans="1:2" ht="15" x14ac:dyDescent="0.2">
      <c r="A489" t="s">
        <v>489</v>
      </c>
      <c r="B489" t="str" cm="1">
        <f t="array" ref="B489">TEXT(1234567.891,"""Total: ""0")</f>
        <v>Total: 1234568</v>
      </c>
    </row>
    <row r="490" spans="1:2" ht="15" x14ac:dyDescent="0.2">
      <c r="A490" t="s">
        <v>490</v>
      </c>
      <c r="B490" t="str" cm="1">
        <f t="array" ref="B490">TEXT(1234567.891,"0 ""units""")</f>
        <v>1234568 units</v>
      </c>
    </row>
    <row r="491" spans="1:2" ht="15" x14ac:dyDescent="0.2">
      <c r="A491" t="s">
        <v>491</v>
      </c>
      <c r="B491" t="str" cm="1">
        <f t="array" ref="B491">TEXT(1234567.891,"\#0")</f>
        <v>#1234568</v>
      </c>
    </row>
    <row r="492" spans="1:2" ht="15" x14ac:dyDescent="0.2">
      <c r="A492" t="s">
        <v>492</v>
      </c>
      <c r="B492" t="str" cm="1">
        <f t="array" ref="B492">TEXT(1234567.891,"@")</f>
        <v>1234567.891</v>
      </c>
    </row>
    <row r="493" spans="1:2" ht="15" x14ac:dyDescent="0.2">
      <c r="A493" t="s">
        <v>493</v>
      </c>
      <c r="B493" t="str" cm="1">
        <f t="array" ref="B493">TEXT(1234567.891,"0;@")</f>
        <v>1234568</v>
      </c>
    </row>
    <row r="494" spans="1:2" ht="15" x14ac:dyDescent="0.2">
      <c r="A494" t="s">
        <v>494</v>
      </c>
      <c r="B494" t="str" cm="1">
        <f t="array" ref="B494">TEXT(1234567.891,"m/d/yyyy")</f>
        <v>2/15/5280</v>
      </c>
    </row>
    <row r="495" spans="1:2" ht="15" x14ac:dyDescent="0.2">
      <c r="A495" t="s">
        <v>495</v>
      </c>
      <c r="B495" t="str" cm="1">
        <f t="array" ref="B495">TEXT(1234567.891,"d-mmm-yy")</f>
        <v>15-Feb-80</v>
      </c>
    </row>
    <row r="496" spans="1:2" ht="15" x14ac:dyDescent="0.2">
      <c r="A496" t="s">
        <v>496</v>
      </c>
      <c r="B496" t="str" cm="1">
        <f t="array" ref="B496">TEXT(1234567.891,"mmmm d, yyyy")</f>
        <v>February 15, 5280</v>
      </c>
    </row>
    <row r="497" spans="1:2" ht="15" x14ac:dyDescent="0.2">
      <c r="A497" t="s">
        <v>497</v>
      </c>
      <c r="B497" t="str" cm="1">
        <f t="array" ref="B497">TEXT(1234567.891,"dddd")</f>
        <v>Thursday</v>
      </c>
    </row>
    <row r="498" spans="1:2" ht="15" x14ac:dyDescent="0.2">
      <c r="A498" t="s">
        <v>498</v>
      </c>
      <c r="B498" t="str" cm="1">
        <f t="array" ref="B498">TEXT(1234567.891,"ddd, mmm d")</f>
        <v>Thu, Feb 15</v>
      </c>
    </row>
    <row r="499" spans="1:2" ht="15" x14ac:dyDescent="0.2">
      <c r="A499" t="s">
        <v>499</v>
      </c>
      <c r="B499" t="str" cm="1">
        <f t="array" ref="B499">TEXT(1234567.891,"mmmmm")</f>
        <v>F</v>
      </c>
    </row>
    <row r="500" spans="1:2" ht="15" x14ac:dyDescent="0.2">
      <c r="A500" t="s">
        <v>500</v>
      </c>
      <c r="B500" t="str" cm="1">
        <f t="array" ref="B500">TEXT(1234567.891,"yy")</f>
        <v>80</v>
      </c>
    </row>
    <row r="501" spans="1:2" ht="15" x14ac:dyDescent="0.2">
      <c r="A501" t="s">
        <v>501</v>
      </c>
      <c r="B501" t="str" cm="1">
        <f t="array" ref="B501">TEXT(1234567.891,"h:mm")</f>
        <v>21:23</v>
      </c>
    </row>
    <row r="502" spans="1:2" ht="15" x14ac:dyDescent="0.2">
      <c r="A502" t="s">
        <v>502</v>
      </c>
      <c r="B502" t="str" cm="1">
        <f t="array" ref="B502">TEXT(1234567.891,"h:mm:ss")</f>
        <v>21:23:02</v>
      </c>
    </row>
    <row r="503" spans="1:2" ht="15" x14ac:dyDescent="0.2">
      <c r="A503" t="s">
        <v>503</v>
      </c>
      <c r="B503" t="str" cm="1">
        <f t="array" ref="B503">TEXT(1234567.891,"h:mm AM/PM")</f>
        <v>9:23 PM</v>
      </c>
    </row>
    <row r="504" spans="1:2" ht="15" x14ac:dyDescent="0.2">
      <c r="A504" t="s">
        <v>504</v>
      </c>
      <c r="B504" t="str" cm="1">
        <f t="array" ref="B504">TEXT(1234567.891,"hh:mm:ss a/p")</f>
        <v>09:23:02 p</v>
      </c>
    </row>
    <row r="505" spans="1:2" ht="15" x14ac:dyDescent="0.2">
      <c r="A505" t="s">
        <v>505</v>
      </c>
      <c r="B505" t="str" cm="1">
        <f t="array" ref="B505">TEXT(1234567.891,"[h]:mm:ss")</f>
        <v>29629629:23:02</v>
      </c>
    </row>
    <row r="506" spans="1:2" ht="15" x14ac:dyDescent="0.2">
      <c r="A506" t="s">
        <v>506</v>
      </c>
      <c r="B506" t="str" cm="1">
        <f t="array" ref="B506">TEXT(1234567.891,"[mm]:ss")</f>
        <v>1777777763:02</v>
      </c>
    </row>
    <row r="507" spans="1:2" ht="15" x14ac:dyDescent="0.2">
      <c r="A507" t="s">
        <v>507</v>
      </c>
      <c r="B507" t="str" cm="1">
        <f t="array" ref="B507">TEXT(1234567.891,"mm:ss.0")</f>
        <v>23:02.4</v>
      </c>
    </row>
    <row r="508" spans="1:2" ht="15" x14ac:dyDescent="0.2">
      <c r="A508" t="s">
        <v>508</v>
      </c>
      <c r="B508" t="str" cm="1">
        <f t="array" ref="B508">TEXT(1234567.891,"h:mm:ss.000")</f>
        <v>21:23:02.400</v>
      </c>
    </row>
    <row r="509" spans="1:2" ht="15" x14ac:dyDescent="0.2">
      <c r="A509" t="s">
        <v>509</v>
      </c>
      <c r="B509" t="str" cm="1">
        <f t="array" ref="B509">TEXT(1234567.891,"yyyy-mm-dd hh:mm")</f>
        <v>5280-02-15 21:23</v>
      </c>
    </row>
    <row r="510" spans="1:2" ht="15" x14ac:dyDescent="0.2">
      <c r="A510" t="s">
        <v>510</v>
      </c>
      <c r="B510" t="str" cm="1">
        <f t="array" ref="B510">TEXT(1234567.891,"m/d/yyyy h:mm")</f>
        <v>2/15/5280 21:23</v>
      </c>
    </row>
    <row r="511" spans="1:2" ht="15" x14ac:dyDescent="0.2">
      <c r="A511" t="s">
        <v>511</v>
      </c>
      <c r="B511" t="str" cm="1">
        <f t="array" ref="B511">TEXT(1234567.891,"[$-409]mmmm d, yyyy")</f>
        <v>February 15, 5280</v>
      </c>
    </row>
    <row r="512" spans="1:2" ht="15" x14ac:dyDescent="0.2">
      <c r="A512" t="s">
        <v>512</v>
      </c>
      <c r="B512" t="str" cm="1">
        <f t="array" ref="B512">TEXT(1234567.891,"[$€-407] #,##0.00")</f>
        <v>€ 1,234,567.89</v>
      </c>
    </row>
    <row r="513" spans="1:2" ht="15" x14ac:dyDescent="0.2">
      <c r="A513" t="s">
        <v>513</v>
      </c>
      <c r="B513" t="str" cm="1">
        <f t="array" ref="B513">TEXT(1234567.891,"General"" kg""")</f>
        <v>1234567.891 kg</v>
      </c>
    </row>
    <row r="514" spans="1:2" ht="15" x14ac:dyDescent="0.2">
      <c r="A514" t="s">
        <v>514</v>
      </c>
      <c r="B514" t="str" cm="1">
        <f t="array" ref="B514">TEXT(1234567.891,"0.00_);[Red]-0.00 ")</f>
        <v xml:space="preserve">1234567.89 </v>
      </c>
    </row>
    <row r="515" spans="1:2" ht="15" x14ac:dyDescent="0.2">
      <c r="A515" t="s">
        <v>515</v>
      </c>
      <c r="B515" t="str" cm="1">
        <f t="array" ref="B515">TEXT(1000000000000000,"General")</f>
        <v>1E+15</v>
      </c>
    </row>
    <row r="516" spans="1:2" ht="15" x14ac:dyDescent="0.2">
      <c r="A516" t="s">
        <v>516</v>
      </c>
      <c r="B516" t="str" cm="1">
        <f t="array" ref="B516">TEXT(1000000000000000,"0")</f>
        <v>1000000000000000</v>
      </c>
    </row>
    <row r="517" spans="1:2" ht="15" x14ac:dyDescent="0.2">
      <c r="A517" t="s">
        <v>517</v>
      </c>
      <c r="B517" t="str" cm="1">
        <f t="array" ref="B517">TEXT(1000000000000000,"0.00")</f>
        <v>1000000000000000.00</v>
      </c>
    </row>
    <row r="518" spans="1:2" ht="15" x14ac:dyDescent="0.2">
      <c r="A518" t="s">
        <v>518</v>
      </c>
      <c r="B518" t="str" cm="1">
        <f t="array" ref="B518">TEXT(1000000000000000,"#,##0")</f>
        <v>1,000,000,000,000,000</v>
      </c>
    </row>
    <row r="519" spans="1:2" ht="15" x14ac:dyDescent="0.2">
      <c r="A519" t="s">
        <v>519</v>
      </c>
      <c r="B519" t="str" cm="1">
        <f t="array" ref="B519">TEXT(1000000000000000,"#,##0.00")</f>
        <v>1,000,000,000,000,000.00</v>
      </c>
    </row>
    <row r="520" spans="1:2" ht="15" x14ac:dyDescent="0.2">
      <c r="A520" t="s">
        <v>520</v>
      </c>
      <c r="B520" t="str" cm="1">
        <f t="array" ref="B520">TEXT(1000000000000000,"#,##0.000")</f>
        <v>1,000,000,000,000,000.000</v>
      </c>
    </row>
    <row r="521" spans="1:2" ht="15" x14ac:dyDescent="0.2">
      <c r="A521" t="s">
        <v>521</v>
      </c>
      <c r="B521" t="str" cm="1">
        <f t="array" ref="B521">TEXT(1000000000000000,"0%")</f>
        <v>100000000000000000%</v>
      </c>
    </row>
    <row r="522" spans="1:2" ht="15" x14ac:dyDescent="0.2">
      <c r="A522" t="s">
        <v>522</v>
      </c>
      <c r="B522" t="str" cm="1">
        <f t="array" ref="B522">TEXT(1000000000000000,"0.00%")</f>
        <v>100000000000000000.00%</v>
      </c>
    </row>
    <row r="523" spans="1:2" ht="15" x14ac:dyDescent="0.2">
      <c r="A523" t="s">
        <v>523</v>
      </c>
      <c r="B523" t="str" cm="1">
        <f t="array" ref="B523">TEXT(1000000000000000,"0.00E+00")</f>
        <v>1.00E+15</v>
      </c>
    </row>
    <row r="524" spans="1:2" ht="15" x14ac:dyDescent="0.2">
      <c r="A524" t="s">
        <v>524</v>
      </c>
      <c r="B524" t="str" cm="1">
        <f t="array" ref="B524">TEXT(1000000000000000,"##0.0E+0")</f>
        <v>1.0E+15</v>
      </c>
    </row>
    <row r="525" spans="1:2" ht="15" x14ac:dyDescent="0.2">
      <c r="A525" t="s">
        <v>525</v>
      </c>
      <c r="B525" t="str" cm="1">
        <f t="array" ref="B525">TEXT(1000000000000000,"0.0E+0")</f>
        <v>1.0E+15</v>
      </c>
    </row>
    <row r="526" spans="1:2" ht="15" x14ac:dyDescent="0.2">
      <c r="A526" t="s">
        <v>526</v>
      </c>
      <c r="B526" t="str" cm="1">
        <f t="array" ref="B526">TEXT(1000000000000000,"# ?/?")</f>
        <v xml:space="preserve">1000000000000000    </v>
      </c>
    </row>
    <row r="527" spans="1:2" ht="15" x14ac:dyDescent="0.2">
      <c r="A527" t="s">
        <v>527</v>
      </c>
      <c r="B527" t="str" cm="1">
        <f t="array" ref="B527">TEXT(1000000000000000,"# ??/??")</f>
        <v xml:space="preserve">1000000000000000      </v>
      </c>
    </row>
    <row r="528" spans="1:2" ht="15" x14ac:dyDescent="0.2">
      <c r="A528" t="s">
        <v>528</v>
      </c>
      <c r="B528" t="e" cm="1">
        <f t="array" ref="B528">TEXT(1000000000000000,"?/?")</f>
        <v>#VALUE!</v>
      </c>
    </row>
    <row r="529" spans="1:2" ht="15" x14ac:dyDescent="0.2">
      <c r="A529" t="s">
        <v>529</v>
      </c>
      <c r="B529" t="str" cm="1">
        <f t="array" ref="B529">TEXT(1000000000000000,"# ?/8")</f>
        <v xml:space="preserve">1000000000000000    </v>
      </c>
    </row>
    <row r="530" spans="1:2" ht="15" x14ac:dyDescent="0.2">
      <c r="A530" t="s">
        <v>530</v>
      </c>
      <c r="B530" t="e" cm="1">
        <f t="array" ref="B530">TEXT(1000000000000000,"?/100")</f>
        <v>#VALUE!</v>
      </c>
    </row>
    <row r="531" spans="1:2" ht="15" x14ac:dyDescent="0.2">
      <c r="A531" t="s">
        <v>531</v>
      </c>
      <c r="B531" t="str" cm="1">
        <f t="array" ref="B531">TEXT(1000000000000000,"""$""#,##0.00")</f>
        <v>$1,000,000,000,000,000.00</v>
      </c>
    </row>
    <row r="532" spans="1:2" ht="15" x14ac:dyDescent="0.2">
      <c r="A532" t="s">
        <v>532</v>
      </c>
      <c r="B532" t="str" cm="1">
        <f t="array" ref="B532">TEXT(1000000000000000,"#,##0.00;[Red](#,##0.00)")</f>
        <v>1,000,000,000,000,000.00</v>
      </c>
    </row>
    <row r="533" spans="1:2" ht="15" x14ac:dyDescent="0.2">
      <c r="A533" t="s">
        <v>533</v>
      </c>
      <c r="B533" t="str" cm="1">
        <f t="array" ref="B533">TEXT(1000000000000000,"0.0;-0.0;""zero""")</f>
        <v>1000000000000000.0</v>
      </c>
    </row>
    <row r="534" spans="1:2" ht="15" x14ac:dyDescent="0.2">
      <c r="A534" t="s">
        <v>534</v>
      </c>
      <c r="B534" t="str" cm="1">
        <f t="array" ref="B534">TEXT(1000000000000000,"0;(0);-")</f>
        <v>1000000000000000</v>
      </c>
    </row>
    <row r="535" spans="1:2" ht="15" x14ac:dyDescent="0.2">
      <c r="A535" t="s">
        <v>535</v>
      </c>
      <c r="B535" t="str" cm="1">
        <f t="array" ref="B535">TEXT(1000000000000000,"[&gt;=100]0;[&lt;0]""neg"";""small""")</f>
        <v>1000000000000000</v>
      </c>
    </row>
    <row r="536" spans="1:2" ht="15" x14ac:dyDescent="0.2">
      <c r="A536" t="s">
        <v>536</v>
      </c>
      <c r="B536" t="str" cm="1">
        <f t="array" ref="B536">TEXT(1000000000000000,"#,##0,")</f>
        <v>1,000,000,000,000</v>
      </c>
    </row>
    <row r="537" spans="1:2" ht="15" x14ac:dyDescent="0.2">
      <c r="A537" t="s">
        <v>537</v>
      </c>
      <c r="B537" t="str" cm="1">
        <f t="array" ref="B537">TEXT(1000000000000000,"0.0,,""M""")</f>
        <v>1000000000.0M</v>
      </c>
    </row>
    <row r="538" spans="1:2" ht="15" x14ac:dyDescent="0.2">
      <c r="A538" t="s">
        <v>538</v>
      </c>
      <c r="B538" t="str" cm="1">
        <f t="array" ref="B538">TEXT(1000000000000000,"000-00-0000")</f>
        <v>1000000000-00-0000</v>
      </c>
    </row>
    <row r="539" spans="1:2" ht="15" x14ac:dyDescent="0.2">
      <c r="A539" t="s">
        <v>539</v>
      </c>
      <c r="B539" t="str" cm="1">
        <f t="array" ref="B539">TEXT(1000000000000000,"00000")</f>
        <v>1000000000000000</v>
      </c>
    </row>
    <row r="540" spans="1:2" ht="15" x14ac:dyDescent="0.2">
      <c r="A540" t="s">
        <v>540</v>
      </c>
      <c r="B540" t="str" cm="1">
        <f t="array" ref="B540">TEXT(1000000000000000,"#.##")</f>
        <v>1000000000000000.</v>
      </c>
    </row>
    <row r="541" spans="1:2" ht="15" x14ac:dyDescent="0.2">
      <c r="A541" t="s">
        <v>541</v>
      </c>
      <c r="B541" t="str" cm="1">
        <f t="array" ref="B541">TEXT(1000000000000000,"0.#")</f>
        <v>1000000000000000.</v>
      </c>
    </row>
    <row r="542" spans="1:2" ht="15" x14ac:dyDescent="0.2">
      <c r="A542" t="s">
        <v>542</v>
      </c>
      <c r="B542" t="str" cm="1">
        <f t="array" ref="B542">TEXT(1000000000000000,"?.??")</f>
        <v xml:space="preserve">1000000000000000.  </v>
      </c>
    </row>
    <row r="543" spans="1:2" ht="15" x14ac:dyDescent="0.2">
      <c r="A543" t="s">
        <v>543</v>
      </c>
      <c r="B543" t="str" cm="1">
        <f t="array" ref="B543">TEXT(1000000000000000,"0.00?")</f>
        <v xml:space="preserve">1000000000000000.00 </v>
      </c>
    </row>
    <row r="544" spans="1:2" ht="15" x14ac:dyDescent="0.2">
      <c r="A544" t="s">
        <v>544</v>
      </c>
      <c r="B544" t="str" cm="1">
        <f t="array" ref="B544">TEXT(1000000000000000,"#,##0_);(#,##0)")</f>
        <v xml:space="preserve">1,000,000,000,000,000 </v>
      </c>
    </row>
    <row r="545" spans="1:2" ht="15" x14ac:dyDescent="0.2">
      <c r="A545" t="s">
        <v>545</v>
      </c>
      <c r="B545" t="str" cm="1">
        <f t="array" ref="B545">TEXT(1000000000000000,"$#,##0")</f>
        <v>$1,000,000,000,000,000</v>
      </c>
    </row>
    <row r="546" spans="1:2" ht="15" x14ac:dyDescent="0.2">
      <c r="A546" t="s">
        <v>546</v>
      </c>
      <c r="B546" t="str" cm="1">
        <f t="array" ref="B546">TEXT(1000000000000000,"""Total: ""0")</f>
        <v>Total: 1000000000000000</v>
      </c>
    </row>
    <row r="547" spans="1:2" ht="15" x14ac:dyDescent="0.2">
      <c r="A547" t="s">
        <v>547</v>
      </c>
      <c r="B547" t="str" cm="1">
        <f t="array" ref="B547">TEXT(1000000000000000,"0 ""units""")</f>
        <v>1000000000000000 units</v>
      </c>
    </row>
    <row r="548" spans="1:2" ht="15" x14ac:dyDescent="0.2">
      <c r="A548" t="s">
        <v>548</v>
      </c>
      <c r="B548" t="str" cm="1">
        <f t="array" ref="B548">TEXT(1000000000000000,"\#0")</f>
        <v>#1000000000000000</v>
      </c>
    </row>
    <row r="549" spans="1:2" ht="15" x14ac:dyDescent="0.2">
      <c r="A549" t="s">
        <v>549</v>
      </c>
      <c r="B549" t="str" cm="1">
        <f t="array" ref="B549">TEXT(1000000000000000,"@")</f>
        <v>1E+15</v>
      </c>
    </row>
    <row r="550" spans="1:2" ht="15" x14ac:dyDescent="0.2">
      <c r="A550" t="s">
        <v>550</v>
      </c>
      <c r="B550" t="str" cm="1">
        <f t="array" ref="B550">TEXT(1000000000000000,"0;@")</f>
        <v>1000000000000000</v>
      </c>
    </row>
    <row r="551" spans="1:2" ht="15" x14ac:dyDescent="0.2">
      <c r="A551" t="s">
        <v>551</v>
      </c>
      <c r="B551" t="e" cm="1">
        <f t="array" ref="B551">TEXT(1000000000000000,"m/d/yyyy")</f>
        <v>#VALUE!</v>
      </c>
    </row>
    <row r="552" spans="1:2" ht="15" x14ac:dyDescent="0.2">
      <c r="A552" t="s">
        <v>552</v>
      </c>
      <c r="B552" t="e" cm="1">
        <f t="array" ref="B552">TEXT(1000000000000000,"d-mmm-yy")</f>
        <v>#VALUE!</v>
      </c>
    </row>
    <row r="553" spans="1:2" ht="15" x14ac:dyDescent="0.2">
      <c r="A553" t="s">
        <v>553</v>
      </c>
      <c r="B553" t="e" cm="1">
        <f t="array" ref="B553">TEXT(1000000000000000,"mmmm d, yyyy")</f>
        <v>#VALUE!</v>
      </c>
    </row>
    <row r="554" spans="1:2" ht="15" x14ac:dyDescent="0.2">
      <c r="A554" t="s">
        <v>554</v>
      </c>
      <c r="B554" t="e" cm="1">
        <f t="array" ref="B554">TEXT(1000000000000000,"dddd")</f>
        <v>#VALUE!</v>
      </c>
    </row>
    <row r="555" spans="1:2" ht="15" x14ac:dyDescent="0.2">
      <c r="A555" t="s">
        <v>555</v>
      </c>
      <c r="B555" t="e" cm="1">
        <f t="array" ref="B555">TEXT(1000000000000000,"ddd, mmm d")</f>
        <v>#VALUE!</v>
      </c>
    </row>
    <row r="556" spans="1:2" ht="15" x14ac:dyDescent="0.2">
      <c r="A556" t="s">
        <v>556</v>
      </c>
      <c r="B556" t="e" cm="1">
        <f t="array" ref="B556">TEXT(1000000000000000,"mmmmm")</f>
        <v>#VALUE!</v>
      </c>
    </row>
    <row r="557" spans="1:2" ht="15" x14ac:dyDescent="0.2">
      <c r="A557" t="s">
        <v>557</v>
      </c>
      <c r="B557" t="e" cm="1">
        <f t="array" ref="B557">TEXT(1000000000000000,"yy")</f>
        <v>#VALUE!</v>
      </c>
    </row>
    <row r="558" spans="1:2" ht="15" x14ac:dyDescent="0.2">
      <c r="A558" t="s">
        <v>558</v>
      </c>
      <c r="B558" t="e" cm="1">
        <f t="array" ref="B558">TEXT(1000000000000000,"h:mm")</f>
        <v>#VALUE!</v>
      </c>
    </row>
    <row r="559" spans="1:2" ht="15" x14ac:dyDescent="0.2">
      <c r="A559" t="s">
        <v>559</v>
      </c>
      <c r="B559" t="e" cm="1">
        <f t="array" ref="B559">TEXT(1000000000000000,"h:mm:ss")</f>
        <v>#VALUE!</v>
      </c>
    </row>
    <row r="560" spans="1:2" ht="15" x14ac:dyDescent="0.2">
      <c r="A560" t="s">
        <v>560</v>
      </c>
      <c r="B560" t="e" cm="1">
        <f t="array" ref="B560">TEXT(1000000000000000,"h:mm AM/PM")</f>
        <v>#VALUE!</v>
      </c>
    </row>
    <row r="561" spans="1:2" ht="15" x14ac:dyDescent="0.2">
      <c r="A561" t="s">
        <v>561</v>
      </c>
      <c r="B561" t="e" cm="1">
        <f t="array" ref="B561">TEXT(1000000000000000,"hh:mm:ss a/p")</f>
        <v>#VALUE!</v>
      </c>
    </row>
    <row r="562" spans="1:2" ht="15" x14ac:dyDescent="0.2">
      <c r="A562" t="s">
        <v>562</v>
      </c>
      <c r="B562" t="e" cm="1">
        <f t="array" ref="B562">TEXT(1000000000000000,"[h]:mm:ss")</f>
        <v>#VALUE!</v>
      </c>
    </row>
    <row r="563" spans="1:2" ht="15" x14ac:dyDescent="0.2">
      <c r="A563" t="s">
        <v>563</v>
      </c>
      <c r="B563" t="e" cm="1">
        <f t="array" ref="B563">TEXT(1000000000000000,"[mm]:ss")</f>
        <v>#VALUE!</v>
      </c>
    </row>
    <row r="564" spans="1:2" ht="15" x14ac:dyDescent="0.2">
      <c r="A564" t="s">
        <v>564</v>
      </c>
      <c r="B564" t="e" cm="1">
        <f t="array" ref="B564">TEXT(1000000000000000,"mm:ss.0")</f>
        <v>#VALUE!</v>
      </c>
    </row>
    <row r="565" spans="1:2" ht="15" x14ac:dyDescent="0.2">
      <c r="A565" t="s">
        <v>565</v>
      </c>
      <c r="B565" t="e" cm="1">
        <f t="array" ref="B565">TEXT(1000000000000000,"h:mm:ss.000")</f>
        <v>#VALUE!</v>
      </c>
    </row>
    <row r="566" spans="1:2" ht="15" x14ac:dyDescent="0.2">
      <c r="A566" t="s">
        <v>566</v>
      </c>
      <c r="B566" t="e" cm="1">
        <f t="array" ref="B566">TEXT(1000000000000000,"yyyy-mm-dd hh:mm")</f>
        <v>#VALUE!</v>
      </c>
    </row>
    <row r="567" spans="1:2" ht="15" x14ac:dyDescent="0.2">
      <c r="A567" t="s">
        <v>567</v>
      </c>
      <c r="B567" t="e" cm="1">
        <f t="array" ref="B567">TEXT(1000000000000000,"m/d/yyyy h:mm")</f>
        <v>#VALUE!</v>
      </c>
    </row>
    <row r="568" spans="1:2" ht="15" x14ac:dyDescent="0.2">
      <c r="A568" t="s">
        <v>568</v>
      </c>
      <c r="B568" t="e" cm="1">
        <f t="array" ref="B568">TEXT(1000000000000000,"[$-409]mmmm d, yyyy")</f>
        <v>#VALUE!</v>
      </c>
    </row>
    <row r="569" spans="1:2" ht="15" x14ac:dyDescent="0.2">
      <c r="A569" t="s">
        <v>569</v>
      </c>
      <c r="B569" t="str" cm="1">
        <f t="array" ref="B569">TEXT(1000000000000000,"[$€-407] #,##0.00")</f>
        <v>€ 1,000,000,000,000,000.00</v>
      </c>
    </row>
    <row r="570" spans="1:2" ht="15" x14ac:dyDescent="0.2">
      <c r="A570" t="s">
        <v>570</v>
      </c>
      <c r="B570" t="str" cm="1">
        <f t="array" ref="B570">TEXT(1000000000000000,"General"" kg""")</f>
        <v>1E+15 kg</v>
      </c>
    </row>
    <row r="571" spans="1:2" ht="15" x14ac:dyDescent="0.2">
      <c r="A571" t="s">
        <v>571</v>
      </c>
      <c r="B571" t="str" cm="1">
        <f t="array" ref="B571">TEXT(1000000000000000,"0.00_);[Red]-0.00 ")</f>
        <v xml:space="preserve">1000000000000000.00 </v>
      </c>
    </row>
    <row r="572" spans="1:2" ht="15" x14ac:dyDescent="0.2">
      <c r="A572" t="s">
        <v>572</v>
      </c>
      <c r="B572" t="str" cm="1">
        <f t="array" ref="B572">TEXT(0.00000000015,"General")</f>
        <v>1.5E-10</v>
      </c>
    </row>
    <row r="573" spans="1:2" ht="15" x14ac:dyDescent="0.2">
      <c r="A573" t="s">
        <v>573</v>
      </c>
      <c r="B573" t="str" cm="1">
        <f t="array" ref="B573">TEXT(0.00000000015,"0")</f>
        <v>0</v>
      </c>
    </row>
    <row r="574" spans="1:2" ht="15" x14ac:dyDescent="0.2">
      <c r="A574" t="s">
        <v>574</v>
      </c>
      <c r="B574" t="str" cm="1">
        <f t="array" ref="B574">TEXT(0.00000000015,"0.00")</f>
        <v>0.00</v>
      </c>
    </row>
    <row r="575" spans="1:2" ht="15" x14ac:dyDescent="0.2">
      <c r="A575" t="s">
        <v>575</v>
      </c>
      <c r="B575" t="str" cm="1">
        <f t="array" ref="B575">TEXT(0.00000000015,"#,##0")</f>
        <v>0</v>
      </c>
    </row>
    <row r="576" spans="1:2" ht="15" x14ac:dyDescent="0.2">
      <c r="A576" t="s">
        <v>576</v>
      </c>
      <c r="B576" t="str" cm="1">
        <f t="array" ref="B576">TEXT(0.00000000015,"#,##0.00")</f>
        <v>0.00</v>
      </c>
    </row>
    <row r="577" spans="1:2" ht="15" x14ac:dyDescent="0.2">
      <c r="A577" t="s">
        <v>577</v>
      </c>
      <c r="B577" t="str" cm="1">
        <f t="array" ref="B577">TEXT(0.00000000015,"#,##0.000")</f>
        <v>0.000</v>
      </c>
    </row>
    <row r="578" spans="1:2" ht="15" x14ac:dyDescent="0.2">
      <c r="A578" t="s">
        <v>578</v>
      </c>
      <c r="B578" t="str" cm="1">
        <f t="array" ref="B578">TEXT(0.00000000015,"0%")</f>
        <v>0%</v>
      </c>
    </row>
    <row r="579" spans="1:2" ht="15" x14ac:dyDescent="0.2">
      <c r="A579" t="s">
        <v>579</v>
      </c>
      <c r="B579" t="str" cm="1">
        <f t="array" ref="B579">TEXT(0.00000000015,"0.00%")</f>
        <v>0.00%</v>
      </c>
    </row>
    <row r="580" spans="1:2" ht="15" x14ac:dyDescent="0.2">
      <c r="A580" t="s">
        <v>580</v>
      </c>
      <c r="B580" t="str" cm="1">
        <f t="array" ref="B580">TEXT(0.00000000015,"0.00E+00")</f>
        <v>1.50E-10</v>
      </c>
    </row>
    <row r="581" spans="1:2" ht="15" x14ac:dyDescent="0.2">
      <c r="A581" t="s">
        <v>581</v>
      </c>
      <c r="B581" t="str" cm="1">
        <f t="array" ref="B581">TEXT(0.00000000015,"##0.0E+0")</f>
        <v>150.0E-12</v>
      </c>
    </row>
    <row r="582" spans="1:2" ht="15" x14ac:dyDescent="0.2">
      <c r="A582" t="s">
        <v>582</v>
      </c>
      <c r="B582" t="str" cm="1">
        <f t="array" ref="B582">TEXT(0.00000000015,"0.0E+0")</f>
        <v>1.5E-10</v>
      </c>
    </row>
    <row r="583" spans="1:2" ht="15" x14ac:dyDescent="0.2">
      <c r="A583" t="s">
        <v>583</v>
      </c>
      <c r="B583" t="str" cm="1">
        <f t="array" ref="B583">TEXT(0.00000000015,"# ?/?")</f>
        <v xml:space="preserve">0    </v>
      </c>
    </row>
    <row r="584" spans="1:2" ht="15" x14ac:dyDescent="0.2">
      <c r="A584" t="s">
        <v>584</v>
      </c>
      <c r="B584" t="str" cm="1">
        <f t="array" ref="B584">TEXT(0.00000000015,"# ??/??")</f>
        <v xml:space="preserve">0      </v>
      </c>
    </row>
    <row r="585" spans="1:2" ht="15" x14ac:dyDescent="0.2">
      <c r="A585" t="s">
        <v>585</v>
      </c>
      <c r="B585" t="str" cm="1">
        <f t="array" ref="B585">TEXT(0.00000000015,"?/?")</f>
        <v>0/1</v>
      </c>
    </row>
    <row r="586" spans="1:2" ht="15" x14ac:dyDescent="0.2">
      <c r="A586" t="s">
        <v>586</v>
      </c>
      <c r="B586" t="str" cm="1">
        <f t="array" ref="B586">TEXT(0.00000000015,"# ?/8")</f>
        <v xml:space="preserve">0    </v>
      </c>
    </row>
    <row r="587" spans="1:2" ht="15" x14ac:dyDescent="0.2">
      <c r="A587" t="s">
        <v>587</v>
      </c>
      <c r="B587" t="str" cm="1">
        <f t="array" ref="B587">TEXT(0.00000000015,"?/100")</f>
        <v>0/100</v>
      </c>
    </row>
    <row r="588" spans="1:2" ht="15" x14ac:dyDescent="0.2">
      <c r="A588" t="s">
        <v>588</v>
      </c>
      <c r="B588" t="str" cm="1">
        <f t="array" ref="B588">TEXT(0.00000000015,"""$""#,##0.00")</f>
        <v>$0.00</v>
      </c>
    </row>
    <row r="589" spans="1:2" ht="15" x14ac:dyDescent="0.2">
      <c r="A589" t="s">
        <v>589</v>
      </c>
      <c r="B589" t="str" cm="1">
        <f t="array" ref="B589">TEXT(0.00000000015,"#,##0.00;[Red](#,##0.00)")</f>
        <v>0.00</v>
      </c>
    </row>
    <row r="590" spans="1:2" ht="15" x14ac:dyDescent="0.2">
      <c r="A590" t="s">
        <v>590</v>
      </c>
      <c r="B590" t="str" cm="1">
        <f t="array" ref="B590">TEXT(0.00000000015,"0.0;-0.0;""zero""")</f>
        <v>0.0</v>
      </c>
    </row>
    <row r="591" spans="1:2" ht="15" x14ac:dyDescent="0.2">
      <c r="A591" t="s">
        <v>591</v>
      </c>
      <c r="B591" t="str" cm="1">
        <f t="array" ref="B591">TEXT(0.00000000015,"0;(0);-")</f>
        <v>0</v>
      </c>
    </row>
    <row r="592" spans="1:2" ht="15" x14ac:dyDescent="0.2">
      <c r="A592" t="s">
        <v>592</v>
      </c>
      <c r="B592" t="str" cm="1">
        <f t="array" ref="B592">TEXT(0.00000000015,"[&gt;=100]0;[&lt;0]""neg"";""small""")</f>
        <v>small</v>
      </c>
    </row>
    <row r="593" spans="1:2" ht="15" x14ac:dyDescent="0.2">
      <c r="A593" t="s">
        <v>593</v>
      </c>
      <c r="B593" t="str" cm="1">
        <f t="array" ref="B593">TEXT(0.00000000015,"#,##0,")</f>
        <v>0</v>
      </c>
    </row>
    <row r="594" spans="1:2" ht="15" x14ac:dyDescent="0.2">
      <c r="A594" t="s">
        <v>594</v>
      </c>
      <c r="B594" t="str" cm="1">
        <f t="array" ref="B594">TEXT(0.00000000015,"0.0,,""M""")</f>
        <v>0.0M</v>
      </c>
    </row>
    <row r="595" spans="1:2" ht="15" x14ac:dyDescent="0.2">
      <c r="A595" t="s">
        <v>595</v>
      </c>
      <c r="B595" t="str" cm="1">
        <f t="array" ref="B595">TEXT(0.00000000015,"000-00-0000")</f>
        <v>000-00-0000</v>
      </c>
    </row>
    <row r="596" spans="1:2" ht="15" x14ac:dyDescent="0.2">
      <c r="A596" t="s">
        <v>596</v>
      </c>
      <c r="B596" t="str" cm="1">
        <f t="array" ref="B596">TEXT(0.00000000015,"00000")</f>
        <v>00000</v>
      </c>
    </row>
    <row r="597" spans="1:2" ht="15" x14ac:dyDescent="0.2">
      <c r="A597" t="s">
        <v>597</v>
      </c>
      <c r="B597" t="str" cm="1">
        <f t="array" ref="B597">TEXT(0.00000000015,"#.##")</f>
        <v>.</v>
      </c>
    </row>
    <row r="598" spans="1:2" ht="15" x14ac:dyDescent="0.2">
      <c r="A598" t="s">
        <v>598</v>
      </c>
      <c r="B598" t="str" cm="1">
        <f t="array" ref="B598">TEXT(0.00000000015,"0.#")</f>
        <v>0.</v>
      </c>
    </row>
    <row r="599" spans="1:2" ht="15" x14ac:dyDescent="0.2">
      <c r="A599" t="s">
        <v>599</v>
      </c>
      <c r="B599" t="str" cm="1">
        <f t="array" ref="B599">TEXT(0.00000000015,"?.??")</f>
        <v xml:space="preserve"> .  </v>
      </c>
    </row>
    <row r="600" spans="1:2" ht="15" x14ac:dyDescent="0.2">
      <c r="A600" t="s">
        <v>600</v>
      </c>
      <c r="B600" t="str" cm="1">
        <f t="array" ref="B600">TEXT(0.00000000015,"0.00?")</f>
        <v xml:space="preserve">0.00 </v>
      </c>
    </row>
    <row r="601" spans="1:2" ht="15" x14ac:dyDescent="0.2">
      <c r="A601" t="s">
        <v>601</v>
      </c>
      <c r="B601" t="str" cm="1">
        <f t="array" ref="B601">TEXT(0.00000000015,"#,##0_);(#,##0)")</f>
        <v xml:space="preserve">0 </v>
      </c>
    </row>
    <row r="602" spans="1:2" ht="15" x14ac:dyDescent="0.2">
      <c r="A602" t="s">
        <v>602</v>
      </c>
      <c r="B602" t="str" cm="1">
        <f t="array" ref="B602">TEXT(0.00000000015,"$#,##0")</f>
        <v>$0</v>
      </c>
    </row>
    <row r="603" spans="1:2" ht="15" x14ac:dyDescent="0.2">
      <c r="A603" t="s">
        <v>603</v>
      </c>
      <c r="B603" t="str" cm="1">
        <f t="array" ref="B603">TEXT(0.00000000015,"""Total: ""0")</f>
        <v>Total: 0</v>
      </c>
    </row>
    <row r="604" spans="1:2" ht="15" x14ac:dyDescent="0.2">
      <c r="A604" t="s">
        <v>604</v>
      </c>
      <c r="B604" t="str" cm="1">
        <f t="array" ref="B604">TEXT(0.00000000015,"0 ""units""")</f>
        <v>0 units</v>
      </c>
    </row>
    <row r="605" spans="1:2" ht="15" x14ac:dyDescent="0.2">
      <c r="A605" t="s">
        <v>605</v>
      </c>
      <c r="B605" t="str" cm="1">
        <f t="array" ref="B605">TEXT(0.00000000015,"\#0")</f>
        <v>#0</v>
      </c>
    </row>
    <row r="606" spans="1:2" ht="15" x14ac:dyDescent="0.2">
      <c r="A606" t="s">
        <v>606</v>
      </c>
      <c r="B606" t="str" cm="1">
        <f t="array" ref="B606">TEXT(0.00000000015,"@")</f>
        <v>1.5E-10</v>
      </c>
    </row>
    <row r="607" spans="1:2" ht="15" x14ac:dyDescent="0.2">
      <c r="A607" t="s">
        <v>607</v>
      </c>
      <c r="B607" t="str" cm="1">
        <f t="array" ref="B607">TEXT(0.00000000015,"0;@")</f>
        <v>0</v>
      </c>
    </row>
    <row r="608" spans="1:2" ht="15" x14ac:dyDescent="0.2">
      <c r="A608" t="s">
        <v>608</v>
      </c>
      <c r="B608" t="str" cm="1">
        <f t="array" ref="B608">TEXT(0.00000000015,"m/d/yyyy")</f>
        <v>1/0/1900</v>
      </c>
    </row>
    <row r="609" spans="1:2" ht="15" x14ac:dyDescent="0.2">
      <c r="A609" t="s">
        <v>609</v>
      </c>
      <c r="B609" t="str" cm="1">
        <f t="array" ref="B609">TEXT(0.00000000015,"d-mmm-yy")</f>
        <v>0-Jan-00</v>
      </c>
    </row>
    <row r="610" spans="1:2" ht="15" x14ac:dyDescent="0.2">
      <c r="A610" t="s">
        <v>610</v>
      </c>
      <c r="B610" t="str" cm="1">
        <f t="array" ref="B610">TEXT(0.00000000015,"mmmm d, yyyy")</f>
        <v>January 0, 1900</v>
      </c>
    </row>
    <row r="611" spans="1:2" ht="15" x14ac:dyDescent="0.2">
      <c r="A611" t="s">
        <v>611</v>
      </c>
      <c r="B611" t="str" cm="1">
        <f t="array" ref="B611">TEXT(0.00000000015,"dddd")</f>
        <v>Saturday</v>
      </c>
    </row>
    <row r="612" spans="1:2" ht="15" x14ac:dyDescent="0.2">
      <c r="A612" t="s">
        <v>612</v>
      </c>
      <c r="B612" t="str" cm="1">
        <f t="array" ref="B612">TEXT(0.00000000015,"ddd, mmm d")</f>
        <v>Sat, Jan 0</v>
      </c>
    </row>
    <row r="613" spans="1:2" ht="15" x14ac:dyDescent="0.2">
      <c r="A613" t="s">
        <v>613</v>
      </c>
      <c r="B613" t="str" cm="1">
        <f t="array" ref="B613">TEXT(0.00000000015,"mmmmm")</f>
        <v>J</v>
      </c>
    </row>
    <row r="614" spans="1:2" ht="15" x14ac:dyDescent="0.2">
      <c r="A614" t="s">
        <v>614</v>
      </c>
      <c r="B614" t="str" cm="1">
        <f t="array" ref="B614">TEXT(0.00000000015,"yy")</f>
        <v>00</v>
      </c>
    </row>
    <row r="615" spans="1:2" ht="15" x14ac:dyDescent="0.2">
      <c r="A615" t="s">
        <v>615</v>
      </c>
      <c r="B615" t="str" cm="1">
        <f t="array" ref="B615">TEXT(0.00000000015,"h:mm")</f>
        <v>0:00</v>
      </c>
    </row>
    <row r="616" spans="1:2" ht="15" x14ac:dyDescent="0.2">
      <c r="A616" t="s">
        <v>616</v>
      </c>
      <c r="B616" t="str" cm="1">
        <f t="array" ref="B616">TEXT(0.00000000015,"h:mm:ss")</f>
        <v>0:00:00</v>
      </c>
    </row>
    <row r="617" spans="1:2" ht="15" x14ac:dyDescent="0.2">
      <c r="A617" t="s">
        <v>617</v>
      </c>
      <c r="B617" t="str" cm="1">
        <f t="array" ref="B617">TEXT(0.00000000015,"h:mm AM/PM")</f>
        <v>12:00 AM</v>
      </c>
    </row>
    <row r="618" spans="1:2" ht="15" x14ac:dyDescent="0.2">
      <c r="A618" t="s">
        <v>618</v>
      </c>
      <c r="B618" t="str" cm="1">
        <f t="array" ref="B618">TEXT(0.00000000015,"hh:mm:ss a/p")</f>
        <v>12:00:00 a</v>
      </c>
    </row>
    <row r="619" spans="1:2" ht="15" x14ac:dyDescent="0.2">
      <c r="A619" t="s">
        <v>619</v>
      </c>
      <c r="B619" t="str" cm="1">
        <f t="array" ref="B619">TEXT(0.00000000015,"[h]:mm:ss")</f>
        <v>0:00:00</v>
      </c>
    </row>
    <row r="620" spans="1:2" ht="15" x14ac:dyDescent="0.2">
      <c r="A620" t="s">
        <v>620</v>
      </c>
      <c r="B620" t="str" cm="1">
        <f t="array" ref="B620">TEXT(0.00000000015,"[mm]:ss")</f>
        <v>00:00</v>
      </c>
    </row>
    <row r="621" spans="1:2" ht="15" x14ac:dyDescent="0.2">
      <c r="A621" t="s">
        <v>621</v>
      </c>
      <c r="B621" t="str" cm="1">
        <f t="array" ref="B621">TEXT(0.00000000015,"mm:ss.0")</f>
        <v>00:00.0</v>
      </c>
    </row>
    <row r="622" spans="1:2" ht="15" x14ac:dyDescent="0.2">
      <c r="A622" t="s">
        <v>622</v>
      </c>
      <c r="B622" t="str" cm="1">
        <f t="array" ref="B622">TEXT(0.00000000015,"h:mm:ss.000")</f>
        <v>0:00:00.000</v>
      </c>
    </row>
    <row r="623" spans="1:2" ht="15" x14ac:dyDescent="0.2">
      <c r="A623" t="s">
        <v>623</v>
      </c>
      <c r="B623" t="str" cm="1">
        <f t="array" ref="B623">TEXT(0.00000000015,"yyyy-mm-dd hh:mm")</f>
        <v>1900-01-00 00:00</v>
      </c>
    </row>
    <row r="624" spans="1:2" ht="15" x14ac:dyDescent="0.2">
      <c r="A624" t="s">
        <v>624</v>
      </c>
      <c r="B624" t="str" cm="1">
        <f t="array" ref="B624">TEXT(0.00000000015,"m/d/yyyy h:mm")</f>
        <v>1/0/1900 0:00</v>
      </c>
    </row>
    <row r="625" spans="1:2" ht="15" x14ac:dyDescent="0.2">
      <c r="A625" t="s">
        <v>625</v>
      </c>
      <c r="B625" t="str" cm="1">
        <f t="array" ref="B625">TEXT(0.00000000015,"[$-409]mmmm d, yyyy")</f>
        <v>January 0, 1900</v>
      </c>
    </row>
    <row r="626" spans="1:2" ht="15" x14ac:dyDescent="0.2">
      <c r="A626" t="s">
        <v>626</v>
      </c>
      <c r="B626" t="str" cm="1">
        <f t="array" ref="B626">TEXT(0.00000000015,"[$€-407] #,##0.00")</f>
        <v>€ 0.00</v>
      </c>
    </row>
    <row r="627" spans="1:2" ht="15" x14ac:dyDescent="0.2">
      <c r="A627" t="s">
        <v>627</v>
      </c>
      <c r="B627" t="str" cm="1">
        <f t="array" ref="B627">TEXT(0.00000000015,"General"" kg""")</f>
        <v>1.5E-10 kg</v>
      </c>
    </row>
    <row r="628" spans="1:2" ht="15" x14ac:dyDescent="0.2">
      <c r="A628" t="s">
        <v>628</v>
      </c>
      <c r="B628" t="str" cm="1">
        <f t="array" ref="B628">TEXT(0.00000000015,"0.00_);[Red]-0.00 ")</f>
        <v xml:space="preserve">0.00 </v>
      </c>
    </row>
    <row r="629" spans="1:2" ht="15" x14ac:dyDescent="0.2">
      <c r="A629" t="s">
        <v>629</v>
      </c>
      <c r="B629" t="str" cm="1">
        <f t="array" ref="B629">TEXT(45351.75,"General")</f>
        <v>45351.75</v>
      </c>
    </row>
    <row r="630" spans="1:2" ht="15" x14ac:dyDescent="0.2">
      <c r="A630" t="s">
        <v>630</v>
      </c>
      <c r="B630" t="str" cm="1">
        <f t="array" ref="B630">TEXT(45351.75,"0")</f>
        <v>45352</v>
      </c>
    </row>
    <row r="631" spans="1:2" ht="15" x14ac:dyDescent="0.2">
      <c r="A631" t="s">
        <v>631</v>
      </c>
      <c r="B631" t="str" cm="1">
        <f t="array" ref="B631">TEXT(45351.75,"0.00")</f>
        <v>45351.75</v>
      </c>
    </row>
    <row r="632" spans="1:2" ht="15" x14ac:dyDescent="0.2">
      <c r="A632" t="s">
        <v>632</v>
      </c>
      <c r="B632" t="str" cm="1">
        <f t="array" ref="B632">TEXT(45351.75,"#,##0")</f>
        <v>45,352</v>
      </c>
    </row>
    <row r="633" spans="1:2" ht="15" x14ac:dyDescent="0.2">
      <c r="A633" t="s">
        <v>633</v>
      </c>
      <c r="B633" t="str" cm="1">
        <f t="array" ref="B633">TEXT(45351.75,"#,##0.00")</f>
        <v>45,351.75</v>
      </c>
    </row>
    <row r="634" spans="1:2" ht="15" x14ac:dyDescent="0.2">
      <c r="A634" t="s">
        <v>634</v>
      </c>
      <c r="B634" t="str" cm="1">
        <f t="array" ref="B634">TEXT(45351.75,"#,##0.000")</f>
        <v>45,351.750</v>
      </c>
    </row>
    <row r="635" spans="1:2" ht="15" x14ac:dyDescent="0.2">
      <c r="A635" t="s">
        <v>635</v>
      </c>
      <c r="B635" t="str" cm="1">
        <f t="array" ref="B635">TEXT(45351.75,"0%")</f>
        <v>4535175%</v>
      </c>
    </row>
    <row r="636" spans="1:2" ht="15" x14ac:dyDescent="0.2">
      <c r="A636" t="s">
        <v>636</v>
      </c>
      <c r="B636" t="str" cm="1">
        <f t="array" ref="B636">TEXT(45351.75,"0.00%")</f>
        <v>4535175.00%</v>
      </c>
    </row>
    <row r="637" spans="1:2" ht="15" x14ac:dyDescent="0.2">
      <c r="A637" t="s">
        <v>637</v>
      </c>
      <c r="B637" t="str" cm="1">
        <f t="array" ref="B637">TEXT(45351.75,"0.00E+00")</f>
        <v>4.54E+04</v>
      </c>
    </row>
    <row r="638" spans="1:2" ht="15" x14ac:dyDescent="0.2">
      <c r="A638" t="s">
        <v>638</v>
      </c>
      <c r="B638" t="str" cm="1">
        <f t="array" ref="B638">TEXT(45351.75,"##0.0E+0")</f>
        <v>45.4E+3</v>
      </c>
    </row>
    <row r="639" spans="1:2" ht="15" x14ac:dyDescent="0.2">
      <c r="A639" t="s">
        <v>639</v>
      </c>
      <c r="B639" t="str" cm="1">
        <f t="array" ref="B639">TEXT(45351.75,"0.0E+0")</f>
        <v>4.5E+4</v>
      </c>
    </row>
    <row r="640" spans="1:2" ht="15" x14ac:dyDescent="0.2">
      <c r="A640" t="s">
        <v>640</v>
      </c>
      <c r="B640" t="str" cm="1">
        <f t="array" ref="B640">TEXT(45351.75,"# ?/?")</f>
        <v>45351 3/4</v>
      </c>
    </row>
    <row r="641" spans="1:2" ht="15" x14ac:dyDescent="0.2">
      <c r="A641" t="s">
        <v>641</v>
      </c>
      <c r="B641" t="str" cm="1">
        <f t="array" ref="B641">TEXT(45351.75,"# ??/??")</f>
        <v xml:space="preserve">45351  3/4 </v>
      </c>
    </row>
    <row r="642" spans="1:2" ht="15" x14ac:dyDescent="0.2">
      <c r="A642" t="s">
        <v>642</v>
      </c>
      <c r="B642" t="str" cm="1">
        <f t="array" ref="B642">TEXT(45351.75,"?/?")</f>
        <v>181407/4</v>
      </c>
    </row>
    <row r="643" spans="1:2" ht="15" x14ac:dyDescent="0.2">
      <c r="A643" t="s">
        <v>643</v>
      </c>
      <c r="B643" t="str" cm="1">
        <f t="array" ref="B643">TEXT(45351.75,"# ?/8")</f>
        <v>45351 6/8</v>
      </c>
    </row>
    <row r="644" spans="1:2" ht="15" x14ac:dyDescent="0.2">
      <c r="A644" t="s">
        <v>644</v>
      </c>
      <c r="B644" t="e" cm="1">
        <f t="array" ref="B644">TEXT(45351.75,"?/100")</f>
        <v>#VALUE!</v>
      </c>
    </row>
    <row r="645" spans="1:2" ht="15" x14ac:dyDescent="0.2">
      <c r="A645" t="s">
        <v>645</v>
      </c>
      <c r="B645" t="str" cm="1">
        <f t="array" ref="B645">TEXT(45351.75,"""$""#,##0.00")</f>
        <v>$45,351.75</v>
      </c>
    </row>
    <row r="646" spans="1:2" ht="15" x14ac:dyDescent="0.2">
      <c r="A646" t="s">
        <v>646</v>
      </c>
      <c r="B646" t="str" cm="1">
        <f t="array" ref="B646">TEXT(45351.75,"#,##0.00;[Red](#,##0.00)")</f>
        <v>45,351.75</v>
      </c>
    </row>
    <row r="647" spans="1:2" ht="15" x14ac:dyDescent="0.2">
      <c r="A647" t="s">
        <v>647</v>
      </c>
      <c r="B647" t="str" cm="1">
        <f t="array" ref="B647">TEXT(45351.75,"0.0;-0.0;""zero""")</f>
        <v>45351.8</v>
      </c>
    </row>
    <row r="648" spans="1:2" ht="15" x14ac:dyDescent="0.2">
      <c r="A648" t="s">
        <v>648</v>
      </c>
      <c r="B648" t="str" cm="1">
        <f t="array" ref="B648">TEXT(45351.75,"0;(0);-")</f>
        <v>45352</v>
      </c>
    </row>
    <row r="649" spans="1:2" ht="15" x14ac:dyDescent="0.2">
      <c r="A649" t="s">
        <v>649</v>
      </c>
      <c r="B649" t="str" cm="1">
        <f t="array" ref="B649">TEXT(45351.75,"[&gt;=100]0;[&lt;0]""neg"";""small""")</f>
        <v>45352</v>
      </c>
    </row>
    <row r="650" spans="1:2" ht="15" x14ac:dyDescent="0.2">
      <c r="A650" t="s">
        <v>650</v>
      </c>
      <c r="B650" t="str" cm="1">
        <f t="array" ref="B650">TEXT(45351.75,"#,##0,")</f>
        <v>45</v>
      </c>
    </row>
    <row r="651" spans="1:2" ht="15" x14ac:dyDescent="0.2">
      <c r="A651" t="s">
        <v>651</v>
      </c>
      <c r="B651" t="str" cm="1">
        <f t="array" ref="B651">TEXT(45351.75,"0.0,,""M""")</f>
        <v>0.0M</v>
      </c>
    </row>
    <row r="652" spans="1:2" ht="15" x14ac:dyDescent="0.2">
      <c r="A652" t="s">
        <v>652</v>
      </c>
      <c r="B652" t="str" cm="1">
        <f t="array" ref="B652">TEXT(45351.75,"000-00-0000")</f>
        <v>000-04-5352</v>
      </c>
    </row>
    <row r="653" spans="1:2" ht="15" x14ac:dyDescent="0.2">
      <c r="A653" t="s">
        <v>653</v>
      </c>
      <c r="B653" t="str" cm="1">
        <f t="array" ref="B653">TEXT(45351.75,"00000")</f>
        <v>45352</v>
      </c>
    </row>
    <row r="654" spans="1:2" ht="15" x14ac:dyDescent="0.2">
      <c r="A654" t="s">
        <v>654</v>
      </c>
      <c r="B654" t="str" cm="1">
        <f t="array" ref="B654">TEXT(45351.75,"#.##")</f>
        <v>45351.75</v>
      </c>
    </row>
    <row r="655" spans="1:2" ht="15" x14ac:dyDescent="0.2">
      <c r="A655" t="s">
        <v>655</v>
      </c>
      <c r="B655" t="str" cm="1">
        <f t="array" ref="B655">TEXT(45351.75,"0.#")</f>
        <v>45351.8</v>
      </c>
    </row>
    <row r="656" spans="1:2" ht="15" x14ac:dyDescent="0.2">
      <c r="A656" t="s">
        <v>656</v>
      </c>
      <c r="B656" t="str" cm="1">
        <f t="array" ref="B656">TEXT(45351.75,"?.??")</f>
        <v>45351.75</v>
      </c>
    </row>
    <row r="657" spans="1:2" ht="15" x14ac:dyDescent="0.2">
      <c r="A657" t="s">
        <v>657</v>
      </c>
      <c r="B657" t="str" cm="1">
        <f t="array" ref="B657">TEXT(45351.75,"0.00?")</f>
        <v xml:space="preserve">45351.75 </v>
      </c>
    </row>
    <row r="658" spans="1:2" ht="15" x14ac:dyDescent="0.2">
      <c r="A658" t="s">
        <v>658</v>
      </c>
      <c r="B658" t="str" cm="1">
        <f t="array" ref="B658">TEXT(45351.75,"#,##0_);(#,##0)")</f>
        <v xml:space="preserve">45,352 </v>
      </c>
    </row>
    <row r="659" spans="1:2" ht="15" x14ac:dyDescent="0.2">
      <c r="A659" t="s">
        <v>659</v>
      </c>
      <c r="B659" t="str" cm="1">
        <f t="array" ref="B659">TEXT(45351.75,"$#,##0")</f>
        <v>$45,352</v>
      </c>
    </row>
    <row r="660" spans="1:2" ht="15" x14ac:dyDescent="0.2">
      <c r="A660" t="s">
        <v>660</v>
      </c>
      <c r="B660" t="str" cm="1">
        <f t="array" ref="B660">TEXT(45351.75,"""Total: ""0")</f>
        <v>Total: 45352</v>
      </c>
    </row>
    <row r="661" spans="1:2" ht="15" x14ac:dyDescent="0.2">
      <c r="A661" t="s">
        <v>661</v>
      </c>
      <c r="B661" t="str" cm="1">
        <f t="array" ref="B661">TEXT(45351.75,"0 ""units""")</f>
        <v>45352 units</v>
      </c>
    </row>
    <row r="662" spans="1:2" ht="15" x14ac:dyDescent="0.2">
      <c r="A662" t="s">
        <v>662</v>
      </c>
      <c r="B662" t="str" cm="1">
        <f t="array" ref="B662">TEXT(45351.75,"\#0")</f>
        <v>#45352</v>
      </c>
    </row>
    <row r="663" spans="1:2" ht="15" x14ac:dyDescent="0.2">
      <c r="A663" t="s">
        <v>663</v>
      </c>
      <c r="B663" t="str" cm="1">
        <f t="array" ref="B663">TEXT(45351.75,"@")</f>
        <v>45351.75</v>
      </c>
    </row>
    <row r="664" spans="1:2" ht="15" x14ac:dyDescent="0.2">
      <c r="A664" t="s">
        <v>664</v>
      </c>
      <c r="B664" t="str" cm="1">
        <f t="array" ref="B664">TEXT(45351.75,"0;@")</f>
        <v>45352</v>
      </c>
    </row>
    <row r="665" spans="1:2" ht="15" x14ac:dyDescent="0.2">
      <c r="A665" t="s">
        <v>665</v>
      </c>
      <c r="B665" t="str" cm="1">
        <f t="array" ref="B665">TEXT(45351.75,"m/d/yyyy")</f>
        <v>2/29/2024</v>
      </c>
    </row>
    <row r="666" spans="1:2" ht="15" x14ac:dyDescent="0.2">
      <c r="A666" t="s">
        <v>666</v>
      </c>
      <c r="B666" t="str" cm="1">
        <f t="array" ref="B666">TEXT(45351.75,"d-mmm-yy")</f>
        <v>29-Feb-24</v>
      </c>
    </row>
    <row r="667" spans="1:2" ht="15" x14ac:dyDescent="0.2">
      <c r="A667" t="s">
        <v>667</v>
      </c>
      <c r="B667" t="str" cm="1">
        <f t="array" ref="B667">TEXT(45351.75,"mmmm d, yyyy")</f>
        <v>February 29, 2024</v>
      </c>
    </row>
    <row r="668" spans="1:2" ht="15" x14ac:dyDescent="0.2">
      <c r="A668" t="s">
        <v>668</v>
      </c>
      <c r="B668" t="str" cm="1">
        <f t="array" ref="B668">TEXT(45351.75,"dddd")</f>
        <v>Thursday</v>
      </c>
    </row>
    <row r="669" spans="1:2" ht="15" x14ac:dyDescent="0.2">
      <c r="A669" t="s">
        <v>669</v>
      </c>
      <c r="B669" t="str" cm="1">
        <f t="array" ref="B669">TEXT(45351.75,"ddd, mmm d")</f>
        <v>Thu, Feb 29</v>
      </c>
    </row>
    <row r="670" spans="1:2" ht="15" x14ac:dyDescent="0.2">
      <c r="A670" t="s">
        <v>670</v>
      </c>
      <c r="B670" t="str" cm="1">
        <f t="array" ref="B670">TEXT(45351.75,"mmmmm")</f>
        <v>F</v>
      </c>
    </row>
    <row r="671" spans="1:2" ht="15" x14ac:dyDescent="0.2">
      <c r="A671" t="s">
        <v>671</v>
      </c>
      <c r="B671" t="str" cm="1">
        <f t="array" ref="B671">TEXT(45351.75,"yy")</f>
        <v>24</v>
      </c>
    </row>
    <row r="672" spans="1:2" ht="15" x14ac:dyDescent="0.2">
      <c r="A672" t="s">
        <v>672</v>
      </c>
      <c r="B672" t="str" cm="1">
        <f t="array" ref="B672">TEXT(45351.75,"h:mm")</f>
        <v>18:00</v>
      </c>
    </row>
    <row r="673" spans="1:2" ht="15" x14ac:dyDescent="0.2">
      <c r="A673" t="s">
        <v>673</v>
      </c>
      <c r="B673" t="str" cm="1">
        <f t="array" ref="B673">TEXT(45351.75,"h:mm:ss")</f>
        <v>18:00:00</v>
      </c>
    </row>
    <row r="674" spans="1:2" ht="15" x14ac:dyDescent="0.2">
      <c r="A674" t="s">
        <v>674</v>
      </c>
      <c r="B674" t="str" cm="1">
        <f t="array" ref="B674">TEXT(45351.75,"h:mm AM/PM")</f>
        <v>6:00 PM</v>
      </c>
    </row>
    <row r="675" spans="1:2" ht="15" x14ac:dyDescent="0.2">
      <c r="A675" t="s">
        <v>675</v>
      </c>
      <c r="B675" t="str" cm="1">
        <f t="array" ref="B675">TEXT(45351.75,"hh:mm:ss a/p")</f>
        <v>06:00:00 p</v>
      </c>
    </row>
    <row r="676" spans="1:2" ht="15" x14ac:dyDescent="0.2">
      <c r="A676" t="s">
        <v>676</v>
      </c>
      <c r="B676" t="str" cm="1">
        <f t="array" ref="B676">TEXT(45351.75,"[h]:mm:ss")</f>
        <v>1088442:00:00</v>
      </c>
    </row>
    <row r="677" spans="1:2" ht="15" x14ac:dyDescent="0.2">
      <c r="A677" t="s">
        <v>677</v>
      </c>
      <c r="B677" t="str" cm="1">
        <f t="array" ref="B677">TEXT(45351.75,"[mm]:ss")</f>
        <v>65306520:00</v>
      </c>
    </row>
    <row r="678" spans="1:2" ht="15" x14ac:dyDescent="0.2">
      <c r="A678" t="s">
        <v>678</v>
      </c>
      <c r="B678" t="str" cm="1">
        <f t="array" ref="B678">TEXT(45351.75,"mm:ss.0")</f>
        <v>00:00.0</v>
      </c>
    </row>
    <row r="679" spans="1:2" ht="15" x14ac:dyDescent="0.2">
      <c r="A679" t="s">
        <v>679</v>
      </c>
      <c r="B679" t="str" cm="1">
        <f t="array" ref="B679">TEXT(45351.75,"h:mm:ss.000")</f>
        <v>18:00:00.000</v>
      </c>
    </row>
    <row r="680" spans="1:2" ht="15" x14ac:dyDescent="0.2">
      <c r="A680" t="s">
        <v>680</v>
      </c>
      <c r="B680" t="str" cm="1">
        <f t="array" ref="B680">TEXT(45351.75,"yyyy-mm-dd hh:mm")</f>
        <v>2024-02-29 18:00</v>
      </c>
    </row>
    <row r="681" spans="1:2" ht="15" x14ac:dyDescent="0.2">
      <c r="A681" t="s">
        <v>681</v>
      </c>
      <c r="B681" t="str" cm="1">
        <f t="array" ref="B681">TEXT(45351.75,"m/d/yyyy h:mm")</f>
        <v>2/29/2024 18:00</v>
      </c>
    </row>
    <row r="682" spans="1:2" ht="15" x14ac:dyDescent="0.2">
      <c r="A682" t="s">
        <v>682</v>
      </c>
      <c r="B682" t="str" cm="1">
        <f t="array" ref="B682">TEXT(45351.75,"[$-409]mmmm d, yyyy")</f>
        <v>February 29, 2024</v>
      </c>
    </row>
    <row r="683" spans="1:2" ht="15" x14ac:dyDescent="0.2">
      <c r="A683" t="s">
        <v>683</v>
      </c>
      <c r="B683" t="str" cm="1">
        <f t="array" ref="B683">TEXT(45351.75,"[$€-407] #,##0.00")</f>
        <v>€ 45,351.75</v>
      </c>
    </row>
    <row r="684" spans="1:2" ht="15" x14ac:dyDescent="0.2">
      <c r="A684" t="s">
        <v>684</v>
      </c>
      <c r="B684" t="str" cm="1">
        <f t="array" ref="B684">TEXT(45351.75,"General"" kg""")</f>
        <v>45351.75 kg</v>
      </c>
    </row>
    <row r="685" spans="1:2" ht="15" x14ac:dyDescent="0.2">
      <c r="A685" t="s">
        <v>685</v>
      </c>
      <c r="B685" t="str" cm="1">
        <f t="array" ref="B685">TEXT(45351.75,"0.00_);[Red]-0.00 ")</f>
        <v xml:space="preserve">45351.75 </v>
      </c>
    </row>
    <row r="686" spans="1:2" ht="15" x14ac:dyDescent="0.2">
      <c r="A686" t="s">
        <v>686</v>
      </c>
      <c r="B686" t="str" cm="1">
        <f t="array" ref="B686">TEXT(0.99999,"General")</f>
        <v>0.99999</v>
      </c>
    </row>
    <row r="687" spans="1:2" ht="15" x14ac:dyDescent="0.2">
      <c r="A687" t="s">
        <v>687</v>
      </c>
      <c r="B687" t="str" cm="1">
        <f t="array" ref="B687">TEXT(0.99999,"0")</f>
        <v>1</v>
      </c>
    </row>
    <row r="688" spans="1:2" ht="15" x14ac:dyDescent="0.2">
      <c r="A688" t="s">
        <v>688</v>
      </c>
      <c r="B688" t="str" cm="1">
        <f t="array" ref="B688">TEXT(0.99999,"0.00")</f>
        <v>1.00</v>
      </c>
    </row>
    <row r="689" spans="1:2" ht="15" x14ac:dyDescent="0.2">
      <c r="A689" t="s">
        <v>689</v>
      </c>
      <c r="B689" t="str" cm="1">
        <f t="array" ref="B689">TEXT(0.99999,"#,##0")</f>
        <v>1</v>
      </c>
    </row>
    <row r="690" spans="1:2" ht="15" x14ac:dyDescent="0.2">
      <c r="A690" t="s">
        <v>690</v>
      </c>
      <c r="B690" t="str" cm="1">
        <f t="array" ref="B690">TEXT(0.99999,"#,##0.00")</f>
        <v>1.00</v>
      </c>
    </row>
    <row r="691" spans="1:2" ht="15" x14ac:dyDescent="0.2">
      <c r="A691" t="s">
        <v>691</v>
      </c>
      <c r="B691" t="str" cm="1">
        <f t="array" ref="B691">TEXT(0.99999,"#,##0.000")</f>
        <v>1.000</v>
      </c>
    </row>
    <row r="692" spans="1:2" ht="15" x14ac:dyDescent="0.2">
      <c r="A692" t="s">
        <v>692</v>
      </c>
      <c r="B692" t="str" cm="1">
        <f t="array" ref="B692">TEXT(0.99999,"0%")</f>
        <v>100%</v>
      </c>
    </row>
    <row r="693" spans="1:2" ht="15" x14ac:dyDescent="0.2">
      <c r="A693" t="s">
        <v>693</v>
      </c>
      <c r="B693" t="str" cm="1">
        <f t="array" ref="B693">TEXT(0.99999,"0.00%")</f>
        <v>100.00%</v>
      </c>
    </row>
    <row r="694" spans="1:2" ht="15" x14ac:dyDescent="0.2">
      <c r="A694" t="s">
        <v>694</v>
      </c>
      <c r="B694" t="str" cm="1">
        <f t="array" ref="B694">TEXT(0.99999,"0.00E+00")</f>
        <v>1.00E+00</v>
      </c>
    </row>
    <row r="695" spans="1:2" ht="15" x14ac:dyDescent="0.2">
      <c r="A695" t="s">
        <v>695</v>
      </c>
      <c r="B695" t="str" cm="1">
        <f t="array" ref="B695">TEXT(0.99999,"##0.0E+0")</f>
        <v>1.0E+0</v>
      </c>
    </row>
    <row r="696" spans="1:2" ht="15" x14ac:dyDescent="0.2">
      <c r="A696" t="s">
        <v>696</v>
      </c>
      <c r="B696" t="str" cm="1">
        <f t="array" ref="B696">TEXT(0.99999,"0.0E+0")</f>
        <v>1.0E+0</v>
      </c>
    </row>
    <row r="697" spans="1:2" ht="15" x14ac:dyDescent="0.2">
      <c r="A697" t="s">
        <v>697</v>
      </c>
      <c r="B697" t="str" cm="1">
        <f t="array" ref="B697">TEXT(0.99999,"# ?/?")</f>
        <v xml:space="preserve">1    </v>
      </c>
    </row>
    <row r="698" spans="1:2" ht="15" x14ac:dyDescent="0.2">
      <c r="A698" t="s">
        <v>698</v>
      </c>
      <c r="B698" t="str" cm="1">
        <f t="array" ref="B698">TEXT(0.99999,"# ??/??")</f>
        <v xml:space="preserve">1      </v>
      </c>
    </row>
    <row r="699" spans="1:2" ht="15" x14ac:dyDescent="0.2">
      <c r="A699" t="s">
        <v>699</v>
      </c>
      <c r="B699" t="str" cm="1">
        <f t="array" ref="B699">TEXT(0.99999,"?/?")</f>
        <v>1/1</v>
      </c>
    </row>
    <row r="700" spans="1:2" ht="15" x14ac:dyDescent="0.2">
      <c r="A700" t="s">
        <v>700</v>
      </c>
      <c r="B700" t="str" cm="1">
        <f t="array" ref="B700">TEXT(0.99999,"# ?/8")</f>
        <v xml:space="preserve">1    </v>
      </c>
    </row>
    <row r="701" spans="1:2" ht="15" x14ac:dyDescent="0.2">
      <c r="A701" t="s">
        <v>701</v>
      </c>
      <c r="B701" t="str" cm="1">
        <f t="array" ref="B701">TEXT(0.99999,"?/100")</f>
        <v>100/100</v>
      </c>
    </row>
    <row r="702" spans="1:2" ht="15" x14ac:dyDescent="0.2">
      <c r="A702" t="s">
        <v>702</v>
      </c>
      <c r="B702" t="str" cm="1">
        <f t="array" ref="B702">TEXT(0.99999,"""$""#,##0.00")</f>
        <v>$1.00</v>
      </c>
    </row>
    <row r="703" spans="1:2" ht="15" x14ac:dyDescent="0.2">
      <c r="A703" t="s">
        <v>703</v>
      </c>
      <c r="B703" t="str" cm="1">
        <f t="array" ref="B703">TEXT(0.99999,"#,##0.00;[Red](#,##0.00)")</f>
        <v>1.00</v>
      </c>
    </row>
    <row r="704" spans="1:2" ht="15" x14ac:dyDescent="0.2">
      <c r="A704" t="s">
        <v>704</v>
      </c>
      <c r="B704" t="str" cm="1">
        <f t="array" ref="B704">TEXT(0.99999,"0.0;-0.0;""zero""")</f>
        <v>1.0</v>
      </c>
    </row>
    <row r="705" spans="1:2" ht="15" x14ac:dyDescent="0.2">
      <c r="A705" t="s">
        <v>705</v>
      </c>
      <c r="B705" t="str" cm="1">
        <f t="array" ref="B705">TEXT(0.99999,"0;(0);-")</f>
        <v>1</v>
      </c>
    </row>
    <row r="706" spans="1:2" ht="15" x14ac:dyDescent="0.2">
      <c r="A706" t="s">
        <v>706</v>
      </c>
      <c r="B706" t="str" cm="1">
        <f t="array" ref="B706">TEXT(0.99999,"[&gt;=100]0;[&lt;0]""neg"";""small""")</f>
        <v>small</v>
      </c>
    </row>
    <row r="707" spans="1:2" ht="15" x14ac:dyDescent="0.2">
      <c r="A707" t="s">
        <v>707</v>
      </c>
      <c r="B707" t="str" cm="1">
        <f t="array" ref="B707">TEXT(0.99999,"#,##0,")</f>
        <v>0</v>
      </c>
    </row>
    <row r="708" spans="1:2" ht="15" x14ac:dyDescent="0.2">
      <c r="A708" t="s">
        <v>708</v>
      </c>
      <c r="B708" t="str" cm="1">
        <f t="array" ref="B708">TEXT(0.99999,"0.0,,""M""")</f>
        <v>0.0M</v>
      </c>
    </row>
    <row r="709" spans="1:2" ht="15" x14ac:dyDescent="0.2">
      <c r="A709" t="s">
        <v>709</v>
      </c>
      <c r="B709" t="str" cm="1">
        <f t="array" ref="B709">TEXT(0.99999,"000-00-0000")</f>
        <v>000-00-0001</v>
      </c>
    </row>
    <row r="710" spans="1:2" ht="15" x14ac:dyDescent="0.2">
      <c r="A710" t="s">
        <v>710</v>
      </c>
      <c r="B710" t="str" cm="1">
        <f t="array" ref="B710">TEXT(0.99999,"00000")</f>
        <v>00001</v>
      </c>
    </row>
    <row r="711" spans="1:2" ht="15" x14ac:dyDescent="0.2">
      <c r="A711" t="s">
        <v>711</v>
      </c>
      <c r="B711" t="str" cm="1">
        <f t="array" ref="B711">TEXT(0.99999,"#.##")</f>
        <v>1.</v>
      </c>
    </row>
    <row r="712" spans="1:2" ht="15" x14ac:dyDescent="0.2">
      <c r="A712" t="s">
        <v>712</v>
      </c>
      <c r="B712" t="str" cm="1">
        <f t="array" ref="B712">TEXT(0.99999,"0.#")</f>
        <v>1.</v>
      </c>
    </row>
    <row r="713" spans="1:2" ht="15" x14ac:dyDescent="0.2">
      <c r="A713" t="s">
        <v>713</v>
      </c>
      <c r="B713" t="str" cm="1">
        <f t="array" ref="B713">TEXT(0.99999,"?.??")</f>
        <v xml:space="preserve">1.  </v>
      </c>
    </row>
    <row r="714" spans="1:2" ht="15" x14ac:dyDescent="0.2">
      <c r="A714" t="s">
        <v>714</v>
      </c>
      <c r="B714" t="str" cm="1">
        <f t="array" ref="B714">TEXT(0.99999,"0.00?")</f>
        <v xml:space="preserve">1.00 </v>
      </c>
    </row>
    <row r="715" spans="1:2" ht="15" x14ac:dyDescent="0.2">
      <c r="A715" t="s">
        <v>715</v>
      </c>
      <c r="B715" t="str" cm="1">
        <f t="array" ref="B715">TEXT(0.99999,"#,##0_);(#,##0)")</f>
        <v xml:space="preserve">1 </v>
      </c>
    </row>
    <row r="716" spans="1:2" ht="15" x14ac:dyDescent="0.2">
      <c r="A716" t="s">
        <v>716</v>
      </c>
      <c r="B716" t="str" cm="1">
        <f t="array" ref="B716">TEXT(0.99999,"$#,##0")</f>
        <v>$1</v>
      </c>
    </row>
    <row r="717" spans="1:2" ht="15" x14ac:dyDescent="0.2">
      <c r="A717" t="s">
        <v>717</v>
      </c>
      <c r="B717" t="str" cm="1">
        <f t="array" ref="B717">TEXT(0.99999,"""Total: ""0")</f>
        <v>Total: 1</v>
      </c>
    </row>
    <row r="718" spans="1:2" ht="15" x14ac:dyDescent="0.2">
      <c r="A718" t="s">
        <v>718</v>
      </c>
      <c r="B718" t="str" cm="1">
        <f t="array" ref="B718">TEXT(0.99999,"0 ""units""")</f>
        <v>1 units</v>
      </c>
    </row>
    <row r="719" spans="1:2" ht="15" x14ac:dyDescent="0.2">
      <c r="A719" t="s">
        <v>719</v>
      </c>
      <c r="B719" t="str" cm="1">
        <f t="array" ref="B719">TEXT(0.99999,"\#0")</f>
        <v>#1</v>
      </c>
    </row>
    <row r="720" spans="1:2" ht="15" x14ac:dyDescent="0.2">
      <c r="A720" t="s">
        <v>720</v>
      </c>
      <c r="B720" t="str" cm="1">
        <f t="array" ref="B720">TEXT(0.99999,"@")</f>
        <v>0.99999</v>
      </c>
    </row>
    <row r="721" spans="1:2" ht="15" x14ac:dyDescent="0.2">
      <c r="A721" t="s">
        <v>721</v>
      </c>
      <c r="B721" t="str" cm="1">
        <f t="array" ref="B721">TEXT(0.99999,"0;@")</f>
        <v>1</v>
      </c>
    </row>
    <row r="722" spans="1:2" ht="15" x14ac:dyDescent="0.2">
      <c r="A722" t="s">
        <v>722</v>
      </c>
      <c r="B722" t="str" cm="1">
        <f t="array" ref="B722">TEXT(0.99999,"m/d/yyyy")</f>
        <v>1/0/1900</v>
      </c>
    </row>
    <row r="723" spans="1:2" ht="15" x14ac:dyDescent="0.2">
      <c r="A723" t="s">
        <v>723</v>
      </c>
      <c r="B723" t="str" cm="1">
        <f t="array" ref="B723">TEXT(0.99999,"d-mmm-yy")</f>
        <v>0-Jan-00</v>
      </c>
    </row>
    <row r="724" spans="1:2" ht="15" x14ac:dyDescent="0.2">
      <c r="A724" t="s">
        <v>724</v>
      </c>
      <c r="B724" t="str" cm="1">
        <f t="array" ref="B724">TEXT(0.99999,"mmmm d, yyyy")</f>
        <v>January 0, 1900</v>
      </c>
    </row>
    <row r="725" spans="1:2" ht="15" x14ac:dyDescent="0.2">
      <c r="A725" t="s">
        <v>725</v>
      </c>
      <c r="B725" t="str" cm="1">
        <f t="array" ref="B725">TEXT(0.99999,"dddd")</f>
        <v>Saturday</v>
      </c>
    </row>
    <row r="726" spans="1:2" ht="15" x14ac:dyDescent="0.2">
      <c r="A726" t="s">
        <v>726</v>
      </c>
      <c r="B726" t="str" cm="1">
        <f t="array" ref="B726">TEXT(0.99999,"ddd, mmm d")</f>
        <v>Sat, Jan 0</v>
      </c>
    </row>
    <row r="727" spans="1:2" ht="15" x14ac:dyDescent="0.2">
      <c r="A727" t="s">
        <v>727</v>
      </c>
      <c r="B727" t="str" cm="1">
        <f t="array" ref="B727">TEXT(0.99999,"mmmmm")</f>
        <v>J</v>
      </c>
    </row>
    <row r="728" spans="1:2" ht="15" x14ac:dyDescent="0.2">
      <c r="A728" t="s">
        <v>728</v>
      </c>
      <c r="B728" t="str" cm="1">
        <f t="array" ref="B728">TEXT(0.99999,"yy")</f>
        <v>00</v>
      </c>
    </row>
    <row r="729" spans="1:2" ht="15" x14ac:dyDescent="0.2">
      <c r="A729" t="s">
        <v>729</v>
      </c>
      <c r="B729" t="str" cm="1">
        <f t="array" ref="B729">TEXT(0.99999,"h:mm")</f>
        <v>23:59</v>
      </c>
    </row>
    <row r="730" spans="1:2" ht="15" x14ac:dyDescent="0.2">
      <c r="A730" t="s">
        <v>730</v>
      </c>
      <c r="B730" t="str" cm="1">
        <f t="array" ref="B730">TEXT(0.99999,"h:mm:ss")</f>
        <v>23:59:59</v>
      </c>
    </row>
    <row r="731" spans="1:2" ht="15" x14ac:dyDescent="0.2">
      <c r="A731" t="s">
        <v>731</v>
      </c>
      <c r="B731" t="str" cm="1">
        <f t="array" ref="B731">TEXT(0.99999,"h:mm AM/PM")</f>
        <v>11:59 PM</v>
      </c>
    </row>
    <row r="732" spans="1:2" ht="15" x14ac:dyDescent="0.2">
      <c r="A732" t="s">
        <v>732</v>
      </c>
      <c r="B732" t="str" cm="1">
        <f t="array" ref="B732">TEXT(0.99999,"hh:mm:ss a/p")</f>
        <v>11:59:59 p</v>
      </c>
    </row>
    <row r="733" spans="1:2" ht="15" x14ac:dyDescent="0.2">
      <c r="A733" t="s">
        <v>733</v>
      </c>
      <c r="B733" t="str" cm="1">
        <f t="array" ref="B733">TEXT(0.99999,"[h]:mm:ss")</f>
        <v>23:59:59</v>
      </c>
    </row>
    <row r="734" spans="1:2" ht="15" x14ac:dyDescent="0.2">
      <c r="A734" t="s">
        <v>734</v>
      </c>
      <c r="B734" t="str" cm="1">
        <f t="array" ref="B734">TEXT(0.99999,"[mm]:ss")</f>
        <v>1439:59</v>
      </c>
    </row>
    <row r="735" spans="1:2" ht="15" x14ac:dyDescent="0.2">
      <c r="A735" t="s">
        <v>735</v>
      </c>
      <c r="B735" t="str" cm="1">
        <f t="array" ref="B735">TEXT(0.99999,"mm:ss.0")</f>
        <v>59:59.1</v>
      </c>
    </row>
    <row r="736" spans="1:2" ht="15" x14ac:dyDescent="0.2">
      <c r="A736" t="s">
        <v>736</v>
      </c>
      <c r="B736" t="str" cm="1">
        <f t="array" ref="B736">TEXT(0.99999,"h:mm:ss.000")</f>
        <v>23:59:59.136</v>
      </c>
    </row>
    <row r="737" spans="1:2" ht="15" x14ac:dyDescent="0.2">
      <c r="A737" t="s">
        <v>737</v>
      </c>
      <c r="B737" t="str" cm="1">
        <f t="array" ref="B737">TEXT(0.99999,"yyyy-mm-dd hh:mm")</f>
        <v>1900-01-00 23:59</v>
      </c>
    </row>
    <row r="738" spans="1:2" ht="15" x14ac:dyDescent="0.2">
      <c r="A738" t="s">
        <v>738</v>
      </c>
      <c r="B738" t="str" cm="1">
        <f t="array" ref="B738">TEXT(0.99999,"m/d/yyyy h:mm")</f>
        <v>1/0/1900 23:59</v>
      </c>
    </row>
    <row r="739" spans="1:2" ht="15" x14ac:dyDescent="0.2">
      <c r="A739" t="s">
        <v>739</v>
      </c>
      <c r="B739" t="str" cm="1">
        <f t="array" ref="B739">TEXT(0.99999,"[$-409]mmmm d, yyyy")</f>
        <v>January 0, 1900</v>
      </c>
    </row>
    <row r="740" spans="1:2" ht="15" x14ac:dyDescent="0.2">
      <c r="A740" t="s">
        <v>740</v>
      </c>
      <c r="B740" t="str" cm="1">
        <f t="array" ref="B740">TEXT(0.99999,"[$€-407] #,##0.00")</f>
        <v>€ 1.00</v>
      </c>
    </row>
    <row r="741" spans="1:2" ht="15" x14ac:dyDescent="0.2">
      <c r="A741" t="s">
        <v>741</v>
      </c>
      <c r="B741" t="str" cm="1">
        <f t="array" ref="B741">TEXT(0.99999,"General"" kg""")</f>
        <v>0.99999 kg</v>
      </c>
    </row>
    <row r="742" spans="1:2" ht="15" x14ac:dyDescent="0.2">
      <c r="A742" t="s">
        <v>742</v>
      </c>
      <c r="B742" t="str" cm="1">
        <f t="array" ref="B742">TEXT(0.99999,"0.00_);[Red]-0.00 ")</f>
        <v xml:space="preserve">1.00 </v>
      </c>
    </row>
    <row r="743" spans="1:2" ht="15" x14ac:dyDescent="0.2">
      <c r="A743" t="s">
        <v>743</v>
      </c>
      <c r="B743" t="str" cm="1">
        <f t="array" ref="B743">TEXT(2.5,"General")</f>
        <v>2.5</v>
      </c>
    </row>
    <row r="744" spans="1:2" ht="15" x14ac:dyDescent="0.2">
      <c r="A744" t="s">
        <v>744</v>
      </c>
      <c r="B744" t="str" cm="1">
        <f t="array" ref="B744">TEXT(2.5,"0")</f>
        <v>3</v>
      </c>
    </row>
    <row r="745" spans="1:2" ht="15" x14ac:dyDescent="0.2">
      <c r="A745" t="s">
        <v>745</v>
      </c>
      <c r="B745" t="str" cm="1">
        <f t="array" ref="B745">TEXT(2.5,"0.00")</f>
        <v>2.50</v>
      </c>
    </row>
    <row r="746" spans="1:2" ht="15" x14ac:dyDescent="0.2">
      <c r="A746" t="s">
        <v>746</v>
      </c>
      <c r="B746" t="str" cm="1">
        <f t="array" ref="B746">TEXT(2.5,"#,##0")</f>
        <v>3</v>
      </c>
    </row>
    <row r="747" spans="1:2" ht="15" x14ac:dyDescent="0.2">
      <c r="A747" t="s">
        <v>747</v>
      </c>
      <c r="B747" t="str" cm="1">
        <f t="array" ref="B747">TEXT(2.5,"#,##0.00")</f>
        <v>2.50</v>
      </c>
    </row>
    <row r="748" spans="1:2" ht="15" x14ac:dyDescent="0.2">
      <c r="A748" t="s">
        <v>748</v>
      </c>
      <c r="B748" t="str" cm="1">
        <f t="array" ref="B748">TEXT(2.5,"#,##0.000")</f>
        <v>2.500</v>
      </c>
    </row>
    <row r="749" spans="1:2" ht="15" x14ac:dyDescent="0.2">
      <c r="A749" t="s">
        <v>749</v>
      </c>
      <c r="B749" t="str" cm="1">
        <f t="array" ref="B749">TEXT(2.5,"0%")</f>
        <v>250%</v>
      </c>
    </row>
    <row r="750" spans="1:2" ht="15" x14ac:dyDescent="0.2">
      <c r="A750" t="s">
        <v>750</v>
      </c>
      <c r="B750" t="str" cm="1">
        <f t="array" ref="B750">TEXT(2.5,"0.00%")</f>
        <v>250.00%</v>
      </c>
    </row>
    <row r="751" spans="1:2" ht="15" x14ac:dyDescent="0.2">
      <c r="A751" t="s">
        <v>751</v>
      </c>
      <c r="B751" t="str" cm="1">
        <f t="array" ref="B751">TEXT(2.5,"0.00E+00")</f>
        <v>2.50E+00</v>
      </c>
    </row>
    <row r="752" spans="1:2" ht="15" x14ac:dyDescent="0.2">
      <c r="A752" t="s">
        <v>752</v>
      </c>
      <c r="B752" t="str" cm="1">
        <f t="array" ref="B752">TEXT(2.5,"##0.0E+0")</f>
        <v>2.5E+0</v>
      </c>
    </row>
    <row r="753" spans="1:2" ht="15" x14ac:dyDescent="0.2">
      <c r="A753" t="s">
        <v>753</v>
      </c>
      <c r="B753" t="str" cm="1">
        <f t="array" ref="B753">TEXT(2.5,"0.0E+0")</f>
        <v>2.5E+0</v>
      </c>
    </row>
    <row r="754" spans="1:2" ht="15" x14ac:dyDescent="0.2">
      <c r="A754" t="s">
        <v>754</v>
      </c>
      <c r="B754" t="str" cm="1">
        <f t="array" ref="B754">TEXT(2.5,"# ?/?")</f>
        <v>2 1/2</v>
      </c>
    </row>
    <row r="755" spans="1:2" ht="15" x14ac:dyDescent="0.2">
      <c r="A755" t="s">
        <v>755</v>
      </c>
      <c r="B755" t="str" cm="1">
        <f t="array" ref="B755">TEXT(2.5,"# ??/??")</f>
        <v xml:space="preserve">2  1/2 </v>
      </c>
    </row>
    <row r="756" spans="1:2" ht="15" x14ac:dyDescent="0.2">
      <c r="A756" t="s">
        <v>756</v>
      </c>
      <c r="B756" t="str" cm="1">
        <f t="array" ref="B756">TEXT(2.5,"?/?")</f>
        <v>5/2</v>
      </c>
    </row>
    <row r="757" spans="1:2" ht="15" x14ac:dyDescent="0.2">
      <c r="A757" t="s">
        <v>757</v>
      </c>
      <c r="B757" t="str" cm="1">
        <f t="array" ref="B757">TEXT(2.5,"# ?/8")</f>
        <v>2 4/8</v>
      </c>
    </row>
    <row r="758" spans="1:2" ht="15" x14ac:dyDescent="0.2">
      <c r="A758" t="s">
        <v>758</v>
      </c>
      <c r="B758" t="str" cm="1">
        <f t="array" ref="B758">TEXT(2.5,"?/100")</f>
        <v>250/100</v>
      </c>
    </row>
    <row r="759" spans="1:2" ht="15" x14ac:dyDescent="0.2">
      <c r="A759" t="s">
        <v>759</v>
      </c>
      <c r="B759" t="str" cm="1">
        <f t="array" ref="B759">TEXT(2.5,"""$""#,##0.00")</f>
        <v>$2.50</v>
      </c>
    </row>
    <row r="760" spans="1:2" ht="15" x14ac:dyDescent="0.2">
      <c r="A760" t="s">
        <v>760</v>
      </c>
      <c r="B760" t="str" cm="1">
        <f t="array" ref="B760">TEXT(2.5,"#,##0.00;[Red](#,##0.00)")</f>
        <v>2.50</v>
      </c>
    </row>
    <row r="761" spans="1:2" ht="15" x14ac:dyDescent="0.2">
      <c r="A761" t="s">
        <v>761</v>
      </c>
      <c r="B761" t="str" cm="1">
        <f t="array" ref="B761">TEXT(2.5,"0.0;-0.0;""zero""")</f>
        <v>2.5</v>
      </c>
    </row>
    <row r="762" spans="1:2" ht="15" x14ac:dyDescent="0.2">
      <c r="A762" t="s">
        <v>762</v>
      </c>
      <c r="B762" t="str" cm="1">
        <f t="array" ref="B762">TEXT(2.5,"0;(0);-")</f>
        <v>3</v>
      </c>
    </row>
    <row r="763" spans="1:2" ht="15" x14ac:dyDescent="0.2">
      <c r="A763" t="s">
        <v>763</v>
      </c>
      <c r="B763" t="str" cm="1">
        <f t="array" ref="B763">TEXT(2.5,"[&gt;=100]0;[&lt;0]""neg"";""small""")</f>
        <v>small</v>
      </c>
    </row>
    <row r="764" spans="1:2" ht="15" x14ac:dyDescent="0.2">
      <c r="A764" t="s">
        <v>764</v>
      </c>
      <c r="B764" t="str" cm="1">
        <f t="array" ref="B764">TEXT(2.5,"#,##0,")</f>
        <v>0</v>
      </c>
    </row>
    <row r="765" spans="1:2" ht="15" x14ac:dyDescent="0.2">
      <c r="A765" t="s">
        <v>765</v>
      </c>
      <c r="B765" t="str" cm="1">
        <f t="array" ref="B765">TEXT(2.5,"0.0,,""M""")</f>
        <v>0.0M</v>
      </c>
    </row>
    <row r="766" spans="1:2" ht="15" x14ac:dyDescent="0.2">
      <c r="A766" t="s">
        <v>766</v>
      </c>
      <c r="B766" t="str" cm="1">
        <f t="array" ref="B766">TEXT(2.5,"000-00-0000")</f>
        <v>000-00-0003</v>
      </c>
    </row>
    <row r="767" spans="1:2" ht="15" x14ac:dyDescent="0.2">
      <c r="A767" t="s">
        <v>767</v>
      </c>
      <c r="B767" t="str" cm="1">
        <f t="array" ref="B767">TEXT(2.5,"00000")</f>
        <v>00003</v>
      </c>
    </row>
    <row r="768" spans="1:2" ht="15" x14ac:dyDescent="0.2">
      <c r="A768" t="s">
        <v>768</v>
      </c>
      <c r="B768" t="str" cm="1">
        <f t="array" ref="B768">TEXT(2.5,"#.##")</f>
        <v>2.5</v>
      </c>
    </row>
    <row r="769" spans="1:2" ht="15" x14ac:dyDescent="0.2">
      <c r="A769" t="s">
        <v>769</v>
      </c>
      <c r="B769" t="str" cm="1">
        <f t="array" ref="B769">TEXT(2.5,"0.#")</f>
        <v>2.5</v>
      </c>
    </row>
    <row r="770" spans="1:2" ht="15" x14ac:dyDescent="0.2">
      <c r="A770" t="s">
        <v>770</v>
      </c>
      <c r="B770" t="str" cm="1">
        <f t="array" ref="B770">TEXT(2.5,"?.??")</f>
        <v xml:space="preserve">2.5 </v>
      </c>
    </row>
    <row r="771" spans="1:2" ht="15" x14ac:dyDescent="0.2">
      <c r="A771" t="s">
        <v>771</v>
      </c>
      <c r="B771" t="str" cm="1">
        <f t="array" ref="B771">TEXT(2.5,"0.00?")</f>
        <v xml:space="preserve">2.50 </v>
      </c>
    </row>
    <row r="772" spans="1:2" ht="15" x14ac:dyDescent="0.2">
      <c r="A772" t="s">
        <v>772</v>
      </c>
      <c r="B772" t="str" cm="1">
        <f t="array" ref="B772">TEXT(2.5,"#,##0_);(#,##0)")</f>
        <v xml:space="preserve">3 </v>
      </c>
    </row>
    <row r="773" spans="1:2" ht="15" x14ac:dyDescent="0.2">
      <c r="A773" t="s">
        <v>773</v>
      </c>
      <c r="B773" t="str" cm="1">
        <f t="array" ref="B773">TEXT(2.5,"$#,##0")</f>
        <v>$3</v>
      </c>
    </row>
    <row r="774" spans="1:2" ht="15" x14ac:dyDescent="0.2">
      <c r="A774" t="s">
        <v>774</v>
      </c>
      <c r="B774" t="str" cm="1">
        <f t="array" ref="B774">TEXT(2.5,"""Total: ""0")</f>
        <v>Total: 3</v>
      </c>
    </row>
    <row r="775" spans="1:2" ht="15" x14ac:dyDescent="0.2">
      <c r="A775" t="s">
        <v>775</v>
      </c>
      <c r="B775" t="str" cm="1">
        <f t="array" ref="B775">TEXT(2.5,"0 ""units""")</f>
        <v>3 units</v>
      </c>
    </row>
    <row r="776" spans="1:2" ht="15" x14ac:dyDescent="0.2">
      <c r="A776" t="s">
        <v>776</v>
      </c>
      <c r="B776" t="str" cm="1">
        <f t="array" ref="B776">TEXT(2.5,"\#0")</f>
        <v>#3</v>
      </c>
    </row>
    <row r="777" spans="1:2" ht="15" x14ac:dyDescent="0.2">
      <c r="A777" t="s">
        <v>777</v>
      </c>
      <c r="B777" t="str" cm="1">
        <f t="array" ref="B777">TEXT(2.5,"@")</f>
        <v>2.5</v>
      </c>
    </row>
    <row r="778" spans="1:2" ht="15" x14ac:dyDescent="0.2">
      <c r="A778" t="s">
        <v>778</v>
      </c>
      <c r="B778" t="str" cm="1">
        <f t="array" ref="B778">TEXT(2.5,"0;@")</f>
        <v>3</v>
      </c>
    </row>
    <row r="779" spans="1:2" ht="15" x14ac:dyDescent="0.2">
      <c r="A779" t="s">
        <v>779</v>
      </c>
      <c r="B779" t="str" cm="1">
        <f t="array" ref="B779">TEXT(2.5,"m/d/yyyy")</f>
        <v>1/2/1900</v>
      </c>
    </row>
    <row r="780" spans="1:2" ht="15" x14ac:dyDescent="0.2">
      <c r="A780" t="s">
        <v>780</v>
      </c>
      <c r="B780" t="str" cm="1">
        <f t="array" ref="B780">TEXT(2.5,"d-mmm-yy")</f>
        <v>2-Jan-00</v>
      </c>
    </row>
    <row r="781" spans="1:2" ht="15" x14ac:dyDescent="0.2">
      <c r="A781" t="s">
        <v>781</v>
      </c>
      <c r="B781" t="str" cm="1">
        <f t="array" ref="B781">TEXT(2.5,"mmmm d, yyyy")</f>
        <v>January 2, 1900</v>
      </c>
    </row>
    <row r="782" spans="1:2" ht="15" x14ac:dyDescent="0.2">
      <c r="A782" t="s">
        <v>782</v>
      </c>
      <c r="B782" t="str" cm="1">
        <f t="array" ref="B782">TEXT(2.5,"dddd")</f>
        <v>Monday</v>
      </c>
    </row>
    <row r="783" spans="1:2" ht="15" x14ac:dyDescent="0.2">
      <c r="A783" t="s">
        <v>783</v>
      </c>
      <c r="B783" t="str" cm="1">
        <f t="array" ref="B783">TEXT(2.5,"ddd, mmm d")</f>
        <v>Mon, Jan 2</v>
      </c>
    </row>
    <row r="784" spans="1:2" ht="15" x14ac:dyDescent="0.2">
      <c r="A784" t="s">
        <v>784</v>
      </c>
      <c r="B784" t="str" cm="1">
        <f t="array" ref="B784">TEXT(2.5,"mmmmm")</f>
        <v>J</v>
      </c>
    </row>
    <row r="785" spans="1:2" ht="15" x14ac:dyDescent="0.2">
      <c r="A785" t="s">
        <v>785</v>
      </c>
      <c r="B785" t="str" cm="1">
        <f t="array" ref="B785">TEXT(2.5,"yy")</f>
        <v>00</v>
      </c>
    </row>
    <row r="786" spans="1:2" ht="15" x14ac:dyDescent="0.2">
      <c r="A786" t="s">
        <v>786</v>
      </c>
      <c r="B786" t="str" cm="1">
        <f t="array" ref="B786">TEXT(2.5,"h:mm")</f>
        <v>12:00</v>
      </c>
    </row>
    <row r="787" spans="1:2" ht="15" x14ac:dyDescent="0.2">
      <c r="A787" t="s">
        <v>787</v>
      </c>
      <c r="B787" t="str" cm="1">
        <f t="array" ref="B787">TEXT(2.5,"h:mm:ss")</f>
        <v>12:00:00</v>
      </c>
    </row>
    <row r="788" spans="1:2" ht="15" x14ac:dyDescent="0.2">
      <c r="A788" t="s">
        <v>788</v>
      </c>
      <c r="B788" t="str" cm="1">
        <f t="array" ref="B788">TEXT(2.5,"h:mm AM/PM")</f>
        <v>12:00 PM</v>
      </c>
    </row>
    <row r="789" spans="1:2" ht="15" x14ac:dyDescent="0.2">
      <c r="A789" t="s">
        <v>789</v>
      </c>
      <c r="B789" t="str" cm="1">
        <f t="array" ref="B789">TEXT(2.5,"hh:mm:ss a/p")</f>
        <v>12:00:00 p</v>
      </c>
    </row>
    <row r="790" spans="1:2" ht="15" x14ac:dyDescent="0.2">
      <c r="A790" t="s">
        <v>790</v>
      </c>
      <c r="B790" t="str" cm="1">
        <f t="array" ref="B790">TEXT(2.5,"[h]:mm:ss")</f>
        <v>60:00:00</v>
      </c>
    </row>
    <row r="791" spans="1:2" ht="15" x14ac:dyDescent="0.2">
      <c r="A791" t="s">
        <v>791</v>
      </c>
      <c r="B791" t="str" cm="1">
        <f t="array" ref="B791">TEXT(2.5,"[mm]:ss")</f>
        <v>3600:00</v>
      </c>
    </row>
    <row r="792" spans="1:2" ht="15" x14ac:dyDescent="0.2">
      <c r="A792" t="s">
        <v>792</v>
      </c>
      <c r="B792" t="str" cm="1">
        <f t="array" ref="B792">TEXT(2.5,"mm:ss.0")</f>
        <v>00:00.0</v>
      </c>
    </row>
    <row r="793" spans="1:2" ht="15" x14ac:dyDescent="0.2">
      <c r="A793" t="s">
        <v>793</v>
      </c>
      <c r="B793" t="str" cm="1">
        <f t="array" ref="B793">TEXT(2.5,"h:mm:ss.000")</f>
        <v>12:00:00.000</v>
      </c>
    </row>
    <row r="794" spans="1:2" ht="15" x14ac:dyDescent="0.2">
      <c r="A794" t="s">
        <v>794</v>
      </c>
      <c r="B794" t="str" cm="1">
        <f t="array" ref="B794">TEXT(2.5,"yyyy-mm-dd hh:mm")</f>
        <v>1900-01-02 12:00</v>
      </c>
    </row>
    <row r="795" spans="1:2" ht="15" x14ac:dyDescent="0.2">
      <c r="A795" t="s">
        <v>795</v>
      </c>
      <c r="B795" t="str" cm="1">
        <f t="array" ref="B795">TEXT(2.5,"m/d/yyyy h:mm")</f>
        <v>1/2/1900 12:00</v>
      </c>
    </row>
    <row r="796" spans="1:2" ht="15" x14ac:dyDescent="0.2">
      <c r="A796" t="s">
        <v>796</v>
      </c>
      <c r="B796" t="str" cm="1">
        <f t="array" ref="B796">TEXT(2.5,"[$-409]mmmm d, yyyy")</f>
        <v>January 2, 1900</v>
      </c>
    </row>
    <row r="797" spans="1:2" ht="15" x14ac:dyDescent="0.2">
      <c r="A797" t="s">
        <v>797</v>
      </c>
      <c r="B797" t="str" cm="1">
        <f t="array" ref="B797">TEXT(2.5,"[$€-407] #,##0.00")</f>
        <v>€ 2.50</v>
      </c>
    </row>
    <row r="798" spans="1:2" ht="15" x14ac:dyDescent="0.2">
      <c r="A798" t="s">
        <v>798</v>
      </c>
      <c r="B798" t="str" cm="1">
        <f t="array" ref="B798">TEXT(2.5,"General"" kg""")</f>
        <v>2.5 kg</v>
      </c>
    </row>
    <row r="799" spans="1:2" ht="15" x14ac:dyDescent="0.2">
      <c r="A799" t="s">
        <v>799</v>
      </c>
      <c r="B799" t="str" cm="1">
        <f t="array" ref="B799">TEXT(2.5,"0.00_);[Red]-0.00 ")</f>
        <v xml:space="preserve">2.50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RowHeight="16" x14ac:dyDescent="0.2"/>
  <sheetData>
    <row r="1" spans="1:8" ht="15" x14ac:dyDescent="0.2">
      <c r="A1">
        <v>1</v>
      </c>
      <c r="B1">
        <v>5</v>
      </c>
      <c r="C1" t="s">
        <v>800</v>
      </c>
      <c r="D1">
        <v>10</v>
      </c>
      <c r="E1">
        <v>1</v>
      </c>
      <c r="F1" t="s">
        <v>801</v>
      </c>
      <c r="G1">
        <v>59</v>
      </c>
      <c r="H1">
        <v>2.5</v>
      </c>
    </row>
    <row r="2" spans="1:8" ht="15" x14ac:dyDescent="0.2">
      <c r="A2">
        <v>2</v>
      </c>
      <c r="B2" t="s">
        <v>802</v>
      </c>
      <c r="C2" t="s">
        <v>803</v>
      </c>
      <c r="D2">
        <v>20</v>
      </c>
      <c r="E2">
        <v>3</v>
      </c>
      <c r="F2" t="s">
        <v>804</v>
      </c>
      <c r="G2">
        <v>61</v>
      </c>
      <c r="H2">
        <v>3.1</v>
      </c>
    </row>
    <row r="3" spans="1:8" ht="15" x14ac:dyDescent="0.2">
      <c r="A3">
        <v>3</v>
      </c>
      <c r="B3" t="b">
        <v>1</v>
      </c>
      <c r="C3" t="s">
        <v>805</v>
      </c>
      <c r="D3">
        <v>30</v>
      </c>
      <c r="E3">
        <v>5</v>
      </c>
      <c r="F3" t="s">
        <v>806</v>
      </c>
      <c r="G3">
        <v>45351</v>
      </c>
      <c r="H3">
        <v>4.7</v>
      </c>
    </row>
    <row r="4" spans="1:8" ht="15" x14ac:dyDescent="0.2">
      <c r="A4">
        <v>4</v>
      </c>
      <c r="C4" t="s">
        <v>800</v>
      </c>
      <c r="D4">
        <v>40</v>
      </c>
      <c r="E4">
        <v>7</v>
      </c>
      <c r="F4" t="s">
        <v>807</v>
      </c>
      <c r="G4">
        <v>45657</v>
      </c>
      <c r="H4">
        <v>1.2</v>
      </c>
    </row>
    <row r="5" spans="1:8" ht="15" x14ac:dyDescent="0.2">
      <c r="A5">
        <v>5</v>
      </c>
      <c r="B5" t="e">
        <f>NA()</f>
        <v>#N/A</v>
      </c>
      <c r="C5" t="s">
        <v>808</v>
      </c>
      <c r="D5">
        <v>50</v>
      </c>
      <c r="E5">
        <v>9</v>
      </c>
      <c r="F5" t="s">
        <v>809</v>
      </c>
      <c r="H5">
        <v>9.9</v>
      </c>
    </row>
    <row r="6" spans="1:8" ht="15" x14ac:dyDescent="0.2">
      <c r="A6">
        <v>6</v>
      </c>
      <c r="B6">
        <v>45000</v>
      </c>
      <c r="H6">
        <v>3.3</v>
      </c>
    </row>
    <row r="7" spans="1:8" ht="15" x14ac:dyDescent="0.2">
      <c r="A7">
        <v>7</v>
      </c>
      <c r="B7" t="s">
        <v>810</v>
      </c>
      <c r="H7">
        <v>7.4</v>
      </c>
    </row>
    <row r="8" spans="1:8" ht="15" x14ac:dyDescent="0.2">
      <c r="A8">
        <v>8</v>
      </c>
      <c r="B8">
        <v>0</v>
      </c>
      <c r="H8">
        <v>5.5</v>
      </c>
    </row>
    <row r="9" spans="1:8" ht="15" x14ac:dyDescent="0.2">
      <c r="A9">
        <v>9</v>
      </c>
      <c r="B9">
        <v>-3.5</v>
      </c>
    </row>
    <row r="10" spans="1:8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2026-10-31T23:19:03Z</dcterms:created>
  <dcterms:modified xsi:type="dcterms:W3CDTF">2026-10-31T23:19:03Z</dcterms:modified>
</cp:coreProperties>
</file>