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95178-1793493952169/"/>
    </mc:Choice>
  </mc:AlternateContent>
  <xr:revisionPtr revIDLastSave="0" documentId="8_{3098C654-0A7F-2041-A3E9-5D701E54524F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<sst xmlns="http://schemas.openxmlformats.org/spreadsheetml/2006/main" count="40" uniqueCount="39">
  <si>
    <t>formula</t>
  </si>
  <si>
    <t>result</t>
  </si>
  <si>
    <t>=VLOOKUP("apple",Data!C1:D5,2,FALSE)</t>
  </si>
  <si>
    <t>=VLOOKUP("APPLE",Data!C1:D5,2,FALSE)</t>
  </si>
  <si>
    <t>=VLOOKUP("zzz",Data!C1:D5,2,FALSE)</t>
  </si>
  <si>
    <t>=VLOOKUP(6,Data!E1:F5,2,TRUE)</t>
  </si>
  <si>
    <t>=VLOOKUP(0,Data!E1:F5,2)</t>
  </si>
  <si>
    <t>=HLOOKUP(3,Data!A1:A10,1,FALSE)</t>
  </si>
  <si>
    <t>=INDEX(Data!C1:D5,3,2)</t>
  </si>
  <si>
    <t>=MATCH("cherry",Data!C1:C5,0)</t>
  </si>
  <si>
    <t>=MATCH(6,Data!E1:E5)</t>
  </si>
  <si>
    <t>=MATCH("b*",Data!C1:C5,0)</t>
  </si>
  <si>
    <t>=XLOOKUP("apple",Data!C1:C5,Data!D1:D5)</t>
  </si>
  <si>
    <t>=XLOOKUP("apple",Data!C1:C5,Data!D1:D5,,0,-1)</t>
  </si>
  <si>
    <t>=XLOOKUP(6,Data!E1:E5,Data!F1:F5,"none",1)</t>
  </si>
  <si>
    <t>=XLOOKUP("zzz",Data!C1:C5,Data!D1:D5,"none")</t>
  </si>
  <si>
    <t>=XMATCH(7,Data!E1:E5)</t>
  </si>
  <si>
    <t>=CHOOSE(2,"a","b","c")</t>
  </si>
  <si>
    <t>=ROWS(Data!A1:C7)</t>
  </si>
  <si>
    <t>=COLUMNS(Data!A1:C7)</t>
  </si>
  <si>
    <t>=ROW(Data!C3)</t>
  </si>
  <si>
    <t>=COLUMN(Data!C3)</t>
  </si>
  <si>
    <t>=ADDRESS(3,28)</t>
  </si>
  <si>
    <t>=ADDRESS(3,28,4)</t>
  </si>
  <si>
    <t>=INDIRECT("Data!A3")</t>
  </si>
  <si>
    <t>=OFFSET(Data!A1,2,0)</t>
  </si>
  <si>
    <t>=SUM(OFFSET(Data!A1,0,0,3,1))</t>
  </si>
  <si>
    <t>=LOOKUP(6,Data!E1:E5,Data!F1:F5)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</si>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</sst>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VLOOKUP("apple",Data!C1:D5,2,FALSE)</f>
        <v>10</v>
      </c>
    </row>
    <row r="3" spans="1:2" ht="15" x14ac:dyDescent="0.2">
      <c r="A3" t="s">
        <v>3</v>
      </c>
      <c r="B3" cm="1">
        <f t="array" ref="B3">VLOOKUP("APPLE",Data!C1:D5,2,FALSE)</f>
        <v>10</v>
      </c>
    </row>
    <row r="4" spans="1:2" ht="15" x14ac:dyDescent="0.2">
      <c r="A4" t="s">
        <v>4</v>
      </c>
      <c r="B4" t="e" cm="1">
        <f t="array" ref="B4">VLOOKUP("zzz",Data!C1:D5,2,FALSE)</f>
        <v>#N/A</v>
      </c>
    </row>
    <row r="5" spans="1:2" ht="15" x14ac:dyDescent="0.2">
      <c r="A5" t="s">
        <v>5</v>
      </c>
      <c r="B5" t="str" cm="1">
        <f t="array" ref="B5">VLOOKUP(6,Data!E1:F5,2,TRUE)</f>
        <v>five</v>
      </c>
    </row>
    <row r="6" spans="1:2" ht="15" x14ac:dyDescent="0.2">
      <c r="A6" t="s">
        <v>6</v>
      </c>
      <c r="B6" t="e" cm="1">
        <f t="array" ref="B6">VLOOKUP(0,Data!E1:F5,2)</f>
        <v>#N/A</v>
      </c>
    </row>
    <row r="7" spans="1:2" ht="15" x14ac:dyDescent="0.2">
      <c r="A7" t="s">
        <v>7</v>
      </c>
      <c r="B7" t="e" cm="1">
        <f t="array" ref="B7">HLOOKUP(3,Data!A1:A10,1,FALSE)</f>
        <v>#N/A</v>
      </c>
    </row>
    <row r="8" spans="1:2" ht="15" x14ac:dyDescent="0.2">
      <c r="A8" t="s">
        <v>8</v>
      </c>
      <c r="B8" cm="1">
        <f t="array" ref="B8">INDEX(Data!C1:D5,3,2)</f>
        <v>30</v>
      </c>
    </row>
    <row r="9" spans="1:2" ht="15" x14ac:dyDescent="0.2">
      <c r="A9" t="s">
        <v>9</v>
      </c>
      <c r="B9" cm="1">
        <f t="array" ref="B9">MATCH("cherry",Data!C1:C5,0)</f>
        <v>3</v>
      </c>
    </row>
    <row r="10" spans="1:2" ht="15" x14ac:dyDescent="0.2">
      <c r="A10" t="s">
        <v>10</v>
      </c>
      <c r="B10" cm="1">
        <f t="array" ref="B10">MATCH(6,Data!E1:E5)</f>
        <v>3</v>
      </c>
    </row>
    <row r="11" spans="1:2" ht="15" x14ac:dyDescent="0.2">
      <c r="A11" t="s">
        <v>11</v>
      </c>
      <c r="B11" cm="1">
        <f t="array" ref="B11">MATCH("b*",Data!C1:C5,0)</f>
        <v>2</v>
      </c>
    </row>
    <row r="12" spans="1:2" ht="15" x14ac:dyDescent="0.2">
      <c r="A12" t="s">
        <v>12</v>
      </c>
      <c r="B12" cm="1">
        <f t="array" ref="B12">_xlfn.XLOOKUP("apple",Data!C1:C5,Data!D1:D5)</f>
        <v>10</v>
      </c>
    </row>
    <row r="13" spans="1:2" ht="15" x14ac:dyDescent="0.2">
      <c r="A13" t="s">
        <v>13</v>
      </c>
      <c r="B13" cm="1">
        <f t="array" ref="B13">_xlfn.XLOOKUP("apple",Data!C1:C5,Data!D1:D5,,0,-1)</f>
        <v>40</v>
      </c>
    </row>
    <row r="14" spans="1:2" ht="15" x14ac:dyDescent="0.2">
      <c r="A14" t="s">
        <v>14</v>
      </c>
      <c r="B14" t="str" cm="1">
        <f t="array" ref="B14">_xlfn.XLOOKUP(6,Data!E1:E5,Data!F1:F5,"none",1)</f>
        <v>seven</v>
      </c>
    </row>
    <row r="15" spans="1:2" ht="15" x14ac:dyDescent="0.2">
      <c r="A15" t="s">
        <v>15</v>
      </c>
      <c r="B15" t="str" cm="1">
        <f t="array" ref="B15">_xlfn.XLOOKUP("zzz",Data!C1:C5,Data!D1:D5,"none")</f>
        <v>none</v>
      </c>
    </row>
    <row r="16" spans="1:2" ht="15" x14ac:dyDescent="0.2">
      <c r="A16" t="s">
        <v>16</v>
      </c>
      <c r="B16" cm="1">
        <f t="array" ref="B16">_xlfn.XMATCH(7,Data!E1:E5)</f>
        <v>4</v>
      </c>
    </row>
    <row r="17" spans="1:2" ht="15" x14ac:dyDescent="0.2">
      <c r="A17" t="s">
        <v>17</v>
      </c>
      <c r="B17" t="str" cm="1">
        <f t="array" ref="B17">CHOOSE(2,"a","b","c")</f>
        <v>b</v>
      </c>
    </row>
    <row r="18" spans="1:2" ht="15" x14ac:dyDescent="0.2">
      <c r="A18" t="s">
        <v>18</v>
      </c>
      <c r="B18" cm="1">
        <f t="array" ref="B18">ROWS(Data!A1:C7)</f>
        <v>7</v>
      </c>
    </row>
    <row r="19" spans="1:2" ht="15" x14ac:dyDescent="0.2">
      <c r="A19" t="s">
        <v>19</v>
      </c>
      <c r="B19" cm="1">
        <f t="array" ref="B19">COLUMNS(Data!A1:C7)</f>
        <v>3</v>
      </c>
    </row>
    <row r="20" spans="1:2" ht="15" x14ac:dyDescent="0.2">
      <c r="A20" t="s">
        <v>20</v>
      </c>
      <c r="B20" cm="1">
        <f t="array" ref="B20">ROW(Data!C3)</f>
        <v>3</v>
      </c>
    </row>
    <row r="21" spans="1:2" ht="15" x14ac:dyDescent="0.2">
      <c r="A21" t="s">
        <v>21</v>
      </c>
      <c r="B21" cm="1">
        <f t="array" ref="B21">COLUMN(Data!C3)</f>
        <v>3</v>
      </c>
    </row>
    <row r="22" spans="1:2" ht="15" x14ac:dyDescent="0.2">
      <c r="A22" t="s">
        <v>22</v>
      </c>
      <c r="B22" t="str" cm="1">
        <f t="array" ref="B22">ADDRESS(3,28)</f>
        <v>$AB$3</v>
      </c>
    </row>
    <row r="23" spans="1:2" ht="15" x14ac:dyDescent="0.2">
      <c r="A23" t="s">
        <v>23</v>
      </c>
      <c r="B23" t="str" cm="1">
        <f t="array" ref="B23">ADDRESS(3,28,4)</f>
        <v>AB3</v>
      </c>
    </row>
    <row r="24" spans="1:2" ht="15" x14ac:dyDescent="0.2">
      <c r="A24" t="s">
        <v>24</v>
      </c>
      <c r="B24" cm="1">
        <f t="array" aca="1" ref="B24" ca="1">INDIRECT("Data!A3")</f>
        <v>3</v>
      </c>
    </row>
    <row r="25" spans="1:2" ht="15" x14ac:dyDescent="0.2">
      <c r="A25" t="s">
        <v>25</v>
      </c>
      <c r="B25" cm="1">
        <f t="array" aca="1" ref="B25" ca="1">OFFSET(Data!A1,2,0)</f>
        <v>3</v>
      </c>
    </row>
    <row r="26" spans="1:2" ht="15" x14ac:dyDescent="0.2">
      <c r="A26" t="s">
        <v>26</v>
      </c>
      <c r="B26" cm="1">
        <f t="array" aca="1" ref="B26" ca="1">SUM(OFFSET(Data!A1,0,0,3,1))</f>
        <v>6</v>
      </c>
    </row>
    <row r="27" spans="1:2" ht="15" x14ac:dyDescent="0.2">
      <c r="A27" t="s">
        <v>27</v>
      </c>
      <c r="B27" t="str" cm="1">
        <f t="array" ref="B27">LOOKUP(6,Data!E1:E5,Data!F1:F5)</f>
        <v>five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28</v>
      </c>
      <c r="D1">
        <v>10</v>
      </c>
      <c r="E1">
        <v>1</v>
      </c>
      <c r="F1" t="s">
        <v>29</v>
      </c>
      <c r="G1">
        <v>59</v>
      </c>
      <c r="H1">
        <v>2.5</v>
      </c>
    </row>
    <row r="2" spans="1:8" ht="15" x14ac:dyDescent="0.2">
      <c r="A2">
        <v>2</v>
      </c>
      <c r="B2" t="s">
        <v>30</v>
      </c>
      <c r="C2" t="s">
        <v>31</v>
      </c>
      <c r="D2">
        <v>20</v>
      </c>
      <c r="E2">
        <v>3</v>
      </c>
      <c r="F2" t="s">
        <v>32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33</v>
      </c>
      <c r="D3">
        <v>30</v>
      </c>
      <c r="E3">
        <v>5</v>
      </c>
      <c r="F3" t="s">
        <v>34</v>
      </c>
      <c r="G3">
        <v>45351</v>
      </c>
      <c r="H3">
        <v>4.7</v>
      </c>
    </row>
    <row r="4" spans="1:8" ht="15" x14ac:dyDescent="0.2">
      <c r="A4">
        <v>4</v>
      </c>
      <c r="C4" t="s">
        <v>28</v>
      </c>
      <c r="D4">
        <v>40</v>
      </c>
      <c r="E4">
        <v>7</v>
      </c>
      <c r="F4" t="s">
        <v>35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36</v>
      </c>
      <c r="D5">
        <v>50</v>
      </c>
      <c r="E5">
        <v>9</v>
      </c>
      <c r="F5" t="s">
        <v>37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38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2026-11-01T00:45:53Z</dcterms:created>
  <dcterms:modified xsi:type="dcterms:W3CDTF">2026-11-01T00:45:53Z</dcterms:modified>
</cp:coreProperties>
</file>