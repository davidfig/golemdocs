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039B8ACB-840A-134C-88C8-821A1B18A66E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51" i="1" a="1"/>
  <c r="B50" i="1" a="1"/>
  <c r="B49" i="1" a="1"/>
  <c r="B48" i="1" a="1"/>
  <c r="B47" i="1" a="1"/>
  <c r="B46" i="1" a="1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<sst xmlns="http://schemas.openxmlformats.org/spreadsheetml/2006/main" count="64" uniqueCount="63">
  <si>
    <t>formula</t>
  </si>
  <si>
    <t>result</t>
  </si>
  <si>
    <t>=SUM(Data!A1:A10)</t>
  </si>
  <si>
    <t>=SUM(Data!B1:B10)</t>
  </si>
  <si>
    <t>=SUM(1,"2",TRUE)</t>
  </si>
  <si>
    <t>=SUMPRODUCT(Data!A1:A5,Data!A6:A10)</t>
  </si>
  <si>
    <t>=PRODUCT(Data!A1:A5)</t>
  </si>
  <si>
    <t>=0.1+0.2</t>
  </si>
  <si>
    <t>=0.1+0.2=0.3</t>
  </si>
  <si>
    <t>=1/0</t>
  </si>
  <si>
    <t>=-7/2</t>
  </si>
  <si>
    <t>=MOD(-7,3)</t>
  </si>
  <si>
    <t>=MOD(7,-3)</t>
  </si>
  <si>
    <t>=INT(-2.5)</t>
  </si>
  <si>
    <t>=TRUNC(-2.5)</t>
  </si>
  <si>
    <t>=ROUND(2.5,0)</t>
  </si>
  <si>
    <t>=ROUND(-2.5,0)</t>
  </si>
  <si>
    <t>=ROUND(1.005,2)</t>
  </si>
  <si>
    <t>=ROUNDUP(1.21,1)</t>
  </si>
  <si>
    <t>=ROUNDDOWN(-1.29,1)</t>
  </si>
  <si>
    <t>=MROUND(10,3)</t>
  </si>
  <si>
    <t>=CEILING(2.1,1)</t>
  </si>
  <si>
    <t>=FLOOR.MATH(-2.5)</t>
  </si>
  <si>
    <t>=CEILING.MATH(-2.5)</t>
  </si>
  <si>
    <t>=POWER(2,0.5)</t>
  </si>
  <si>
    <t>=SQRT(-1)</t>
  </si>
  <si>
    <t>=2^10</t>
  </si>
  <si>
    <t>=-2^2</t>
  </si>
  <si>
    <t>=EXP(1)</t>
  </si>
  <si>
    <t>=LN(0)</t>
  </si>
  <si>
    <t>=LOG(1000)</t>
  </si>
  <si>
    <t>=LOG10(0.001)</t>
  </si>
  <si>
    <t>=FACT(20)</t>
  </si>
  <si>
    <t>=FACT(170)</t>
  </si>
  <si>
    <t>=FACT(171)</t>
  </si>
  <si>
    <t>=COMBIN(10,3)</t>
  </si>
  <si>
    <t>=GCD(12,18)</t>
  </si>
  <si>
    <t>=LCM(4,6)</t>
  </si>
  <si>
    <t>=ABS(-0)</t>
  </si>
  <si>
    <t>=SIGN(-0.001)</t>
  </si>
  <si>
    <t>=PI()</t>
  </si>
  <si>
    <t>=SIN(PI())</t>
  </si>
  <si>
    <t>=ATAN2(1,1)</t>
  </si>
  <si>
    <t>=DEGREES(PI())</t>
  </si>
  <si>
    <t>=SUMIF(Data!C1:C5,"apple",Data!D1:D5)</t>
  </si>
  <si>
    <t>=SUMIFS(Data!D1:D5,Data!C1:C5,"&lt;&gt;apple",Data!D1:D5,"&gt;15")</t>
  </si>
  <si>
    <t>=COUNTIF(Data!C1:C5,"a*")</t>
  </si>
  <si>
    <t>=SUBTOTAL(9,Data!A1:A10)</t>
  </si>
  <si>
    <t>=AGGREGATE(9,6,Data!B1:B10)</t>
  </si>
  <si>
    <t>=12345678901234567890</t>
  </si>
  <si>
    <t>=9.99999999999999E+307*10</t>
  </si>
  <si>
    <t>=2^-1074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</si>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</sst>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SUM(Data!A1:A10)</f>
        <v>55</v>
      </c>
    </row>
    <row r="3" spans="1:2" ht="15" x14ac:dyDescent="0.2">
      <c r="A3" t="s">
        <v>3</v>
      </c>
      <c r="B3" t="e" cm="1">
        <f t="array" ref="B3">SUM(Data!B1:B10)</f>
        <v>#N/A</v>
      </c>
    </row>
    <row r="4" spans="1:2" ht="15" x14ac:dyDescent="0.2">
      <c r="A4" t="s">
        <v>4</v>
      </c>
      <c r="B4" cm="1">
        <f t="array" ref="B4">SUM(1,"2",TRUE)</f>
        <v>4</v>
      </c>
    </row>
    <row r="5" spans="1:2" ht="15" x14ac:dyDescent="0.2">
      <c r="A5" t="s">
        <v>5</v>
      </c>
      <c r="B5" cm="1">
        <f t="array" ref="B5">SUMPRODUCT(Data!A1:A5,Data!A6:A10)</f>
        <v>130</v>
      </c>
    </row>
    <row r="6" spans="1:2" ht="15" x14ac:dyDescent="0.2">
      <c r="A6" t="s">
        <v>6</v>
      </c>
      <c r="B6" cm="1">
        <f t="array" ref="B6">PRODUCT(Data!A1:A5)</f>
        <v>120</v>
      </c>
    </row>
    <row r="7" spans="1:2" ht="15" x14ac:dyDescent="0.2">
      <c r="A7" t="s">
        <v>7</v>
      </c>
      <c r="B7" cm="1">
        <f t="array" ref="B7">0.1+0.2</f>
        <v>0.30000000000000004</v>
      </c>
    </row>
    <row r="8" spans="1:2" ht="15" x14ac:dyDescent="0.2">
      <c r="A8" t="s">
        <v>8</v>
      </c>
      <c r="B8" t="b" cm="1">
        <f t="array" ref="B8">0.1+0.2=0.3</f>
        <v>1</v>
      </c>
    </row>
    <row r="9" spans="1:2" ht="15" x14ac:dyDescent="0.2">
      <c r="A9" t="s">
        <v>9</v>
      </c>
      <c r="B9" t="e" cm="1">
        <f t="array" ref="B9">1/0</f>
        <v>#DIV/0!</v>
      </c>
    </row>
    <row r="10" spans="1:2" ht="15" x14ac:dyDescent="0.2">
      <c r="A10" t="s">
        <v>10</v>
      </c>
      <c r="B10" cm="1">
        <f t="array" ref="B10">-7/2</f>
        <v>-3.5</v>
      </c>
    </row>
    <row r="11" spans="1:2" ht="15" x14ac:dyDescent="0.2">
      <c r="A11" t="s">
        <v>11</v>
      </c>
      <c r="B11" cm="1">
        <f t="array" ref="B11">MOD(-7,3)</f>
        <v>2</v>
      </c>
    </row>
    <row r="12" spans="1:2" ht="15" x14ac:dyDescent="0.2">
      <c r="A12" t="s">
        <v>12</v>
      </c>
      <c r="B12" cm="1">
        <f t="array" ref="B12">MOD(7,-3)</f>
        <v>-2</v>
      </c>
    </row>
    <row r="13" spans="1:2" ht="15" x14ac:dyDescent="0.2">
      <c r="A13" t="s">
        <v>13</v>
      </c>
      <c r="B13" cm="1">
        <f t="array" ref="B13">INT(-2.5)</f>
        <v>-3</v>
      </c>
    </row>
    <row r="14" spans="1:2" ht="15" x14ac:dyDescent="0.2">
      <c r="A14" t="s">
        <v>14</v>
      </c>
      <c r="B14" cm="1">
        <f t="array" ref="B14">TRUNC(-2.5)</f>
        <v>-2</v>
      </c>
    </row>
    <row r="15" spans="1:2" ht="15" x14ac:dyDescent="0.2">
      <c r="A15" t="s">
        <v>15</v>
      </c>
      <c r="B15" cm="1">
        <f t="array" ref="B15">ROUND(2.5,0)</f>
        <v>3</v>
      </c>
    </row>
    <row r="16" spans="1:2" ht="15" x14ac:dyDescent="0.2">
      <c r="A16" t="s">
        <v>16</v>
      </c>
      <c r="B16" cm="1">
        <f t="array" ref="B16">ROUND(-2.5,0)</f>
        <v>-3</v>
      </c>
    </row>
    <row r="17" spans="1:2" ht="15" x14ac:dyDescent="0.2">
      <c r="A17" t="s">
        <v>17</v>
      </c>
      <c r="B17" cm="1">
        <f t="array" ref="B17">ROUND(1.005,2)</f>
        <v>1.01</v>
      </c>
    </row>
    <row r="18" spans="1:2" ht="15" x14ac:dyDescent="0.2">
      <c r="A18" t="s">
        <v>18</v>
      </c>
      <c r="B18" cm="1">
        <f t="array" ref="B18">ROUNDUP(1.21,1)</f>
        <v>1.3</v>
      </c>
    </row>
    <row r="19" spans="1:2" ht="15" x14ac:dyDescent="0.2">
      <c r="A19" t="s">
        <v>19</v>
      </c>
      <c r="B19" cm="1">
        <f t="array" ref="B19">ROUNDDOWN(-1.29,1)</f>
        <v>-1.2</v>
      </c>
    </row>
    <row r="20" spans="1:2" ht="15" x14ac:dyDescent="0.2">
      <c r="A20" t="s">
        <v>20</v>
      </c>
      <c r="B20" cm="1">
        <f t="array" ref="B20">MROUND(10,3)</f>
        <v>9</v>
      </c>
    </row>
    <row r="21" spans="1:2" ht="15" x14ac:dyDescent="0.2">
      <c r="A21" t="s">
        <v>21</v>
      </c>
      <c r="B21" cm="1">
        <f t="array" ref="B21">CEILING(2.1,1)</f>
        <v>3</v>
      </c>
    </row>
    <row r="22" spans="1:2" ht="15" x14ac:dyDescent="0.2">
      <c r="A22" t="s">
        <v>22</v>
      </c>
      <c r="B22" cm="1">
        <f t="array" ref="B22">_xlfn.FLOOR.MATH(-2.5)</f>
        <v>-3</v>
      </c>
    </row>
    <row r="23" spans="1:2" ht="15" x14ac:dyDescent="0.2">
      <c r="A23" t="s">
        <v>23</v>
      </c>
      <c r="B23" cm="1">
        <f t="array" ref="B23">_xlfn.CEILING.MATH(-2.5)</f>
        <v>-2</v>
      </c>
    </row>
    <row r="24" spans="1:2" ht="15" x14ac:dyDescent="0.2">
      <c r="A24" t="s">
        <v>24</v>
      </c>
      <c r="B24" cm="1">
        <f t="array" ref="B24">POWER(2,0.5)</f>
        <v>1.4142135623730951</v>
      </c>
    </row>
    <row r="25" spans="1:2" ht="15" x14ac:dyDescent="0.2">
      <c r="A25" t="s">
        <v>25</v>
      </c>
      <c r="B25" t="e" cm="1">
        <f t="array" ref="B25">SQRT(-1)</f>
        <v>#NUM!</v>
      </c>
    </row>
    <row r="26" spans="1:2" ht="15" x14ac:dyDescent="0.2">
      <c r="A26" t="s">
        <v>26</v>
      </c>
      <c r="B26" cm="1">
        <f t="array" ref="B26">2^10</f>
        <v>1024</v>
      </c>
    </row>
    <row r="27" spans="1:2" ht="15" x14ac:dyDescent="0.2">
      <c r="A27" t="s">
        <v>27</v>
      </c>
      <c r="B27" cm="1">
        <f t="array" ref="B27">-2^2</f>
        <v>4</v>
      </c>
    </row>
    <row r="28" spans="1:2" ht="15" x14ac:dyDescent="0.2">
      <c r="A28" t="s">
        <v>28</v>
      </c>
      <c r="B28" cm="1">
        <f t="array" ref="B28">EXP(1)</f>
        <v>2.7182818284590451</v>
      </c>
    </row>
    <row r="29" spans="1:2" ht="15" x14ac:dyDescent="0.2">
      <c r="A29" t="s">
        <v>29</v>
      </c>
      <c r="B29" t="e" cm="1">
        <f t="array" ref="B29">LN(0)</f>
        <v>#NUM!</v>
      </c>
    </row>
    <row r="30" spans="1:2" ht="15" x14ac:dyDescent="0.2">
      <c r="A30" t="s">
        <v>30</v>
      </c>
      <c r="B30" cm="1">
        <f t="array" ref="B30">LOG(1000)</f>
        <v>3</v>
      </c>
    </row>
    <row r="31" spans="1:2" ht="15" x14ac:dyDescent="0.2">
      <c r="A31" t="s">
        <v>31</v>
      </c>
      <c r="B31" cm="1">
        <f t="array" ref="B31">LOG10(0.001)</f>
        <v>-3</v>
      </c>
    </row>
    <row r="32" spans="1:2" ht="15" x14ac:dyDescent="0.2">
      <c r="A32" t="s">
        <v>32</v>
      </c>
      <c r="B32" cm="1">
        <f t="array" ref="B32">FACT(20)</f>
        <v>2.43290200817664E+18</v>
      </c>
    </row>
    <row r="33" spans="1:2" ht="15" x14ac:dyDescent="0.2">
      <c r="A33" t="s">
        <v>33</v>
      </c>
      <c r="B33" cm="1">
        <f t="array" ref="B33">FACT(170)</f>
        <v>7.257415615308004E+306</v>
      </c>
    </row>
    <row r="34" spans="1:2" ht="15" x14ac:dyDescent="0.2">
      <c r="A34" t="s">
        <v>34</v>
      </c>
      <c r="B34" t="e" cm="1">
        <f t="array" ref="B34">FACT(171)</f>
        <v>#NUM!</v>
      </c>
    </row>
    <row r="35" spans="1:2" ht="15" x14ac:dyDescent="0.2">
      <c r="A35" t="s">
        <v>35</v>
      </c>
      <c r="B35" cm="1">
        <f t="array" ref="B35">COMBIN(10,3)</f>
        <v>120</v>
      </c>
    </row>
    <row r="36" spans="1:2" ht="15" x14ac:dyDescent="0.2">
      <c r="A36" t="s">
        <v>36</v>
      </c>
      <c r="B36" cm="1">
        <f t="array" ref="B36">GCD(12,18)</f>
        <v>6</v>
      </c>
    </row>
    <row r="37" spans="1:2" ht="15" x14ac:dyDescent="0.2">
      <c r="A37" t="s">
        <v>37</v>
      </c>
      <c r="B37" cm="1">
        <f t="array" ref="B37">LCM(4,6)</f>
        <v>12</v>
      </c>
    </row>
    <row r="38" spans="1:2" ht="15" x14ac:dyDescent="0.2">
      <c r="A38" t="s">
        <v>38</v>
      </c>
      <c r="B38" cm="1">
        <f t="array" ref="B38">ABS(0)</f>
        <v>0</v>
      </c>
    </row>
    <row r="39" spans="1:2" ht="15" x14ac:dyDescent="0.2">
      <c r="A39" t="s">
        <v>39</v>
      </c>
      <c r="B39" cm="1">
        <f t="array" ref="B39">SIGN(-0.001)</f>
        <v>-1</v>
      </c>
    </row>
    <row r="40" spans="1:2" ht="15" x14ac:dyDescent="0.2">
      <c r="A40" t="s">
        <v>40</v>
      </c>
      <c r="B40" cm="1">
        <f t="array" ref="B40">PI()</f>
        <v>3.1415926535897931</v>
      </c>
    </row>
    <row r="41" spans="1:2" ht="15" x14ac:dyDescent="0.2">
      <c r="A41" t="s">
        <v>41</v>
      </c>
      <c r="B41" cm="1">
        <f t="array" ref="B41">SIN(PI())</f>
        <v>1.2246467991473532E-16</v>
      </c>
    </row>
    <row r="42" spans="1:2" ht="15" x14ac:dyDescent="0.2">
      <c r="A42" t="s">
        <v>42</v>
      </c>
      <c r="B42" cm="1">
        <f t="array" ref="B42">ATAN2(1,1)</f>
        <v>0.78539816339744828</v>
      </c>
    </row>
    <row r="43" spans="1:2" ht="15" x14ac:dyDescent="0.2">
      <c r="A43" t="s">
        <v>43</v>
      </c>
      <c r="B43" cm="1">
        <f t="array" ref="B43">DEGREES(PI())</f>
        <v>180</v>
      </c>
    </row>
    <row r="44" spans="1:2" ht="15" x14ac:dyDescent="0.2">
      <c r="A44" t="s">
        <v>44</v>
      </c>
      <c r="B44" cm="1">
        <f t="array" ref="B44">SUMIF(Data!C1:C5,"apple",Data!D1:D5)</f>
        <v>50</v>
      </c>
    </row>
    <row r="45" spans="1:2" ht="15" x14ac:dyDescent="0.2">
      <c r="A45" t="s">
        <v>45</v>
      </c>
      <c r="B45" cm="1">
        <f t="array" ref="B45">SUMIFS(Data!D1:D5,Data!C1:C5,"&lt;&gt;apple",Data!D1:D5,"&gt;15")</f>
        <v>100</v>
      </c>
    </row>
    <row r="46" spans="1:2" ht="15" x14ac:dyDescent="0.2">
      <c r="A46" t="s">
        <v>46</v>
      </c>
      <c r="B46" cm="1">
        <f t="array" ref="B46">COUNTIF(Data!C1:C5,"a*")</f>
        <v>2</v>
      </c>
    </row>
    <row r="47" spans="1:2" ht="15" x14ac:dyDescent="0.2">
      <c r="A47" t="s">
        <v>47</v>
      </c>
      <c r="B47" cm="1">
        <f t="array" ref="B47">SUBTOTAL(9,Data!A1:A10)</f>
        <v>55</v>
      </c>
    </row>
    <row r="48" spans="1:2" ht="15" x14ac:dyDescent="0.2">
      <c r="A48" t="s">
        <v>48</v>
      </c>
      <c r="B48" cm="1">
        <f t="array" ref="B48">_xlfn.AGGREGATE(9,6,Data!B1:B10)</f>
        <v>45001.5</v>
      </c>
    </row>
    <row r="49" spans="1:2" ht="15" x14ac:dyDescent="0.2">
      <c r="A49" t="s">
        <v>49</v>
      </c>
      <c r="B49" cm="1">
        <f t="array" ref="B49">12345678901234500000</f>
        <v>1.23456789012345E+19</v>
      </c>
    </row>
    <row r="50" spans="1:2" ht="15" x14ac:dyDescent="0.2">
      <c r="A50" t="s">
        <v>50</v>
      </c>
      <c r="B50" t="e" cm="1">
        <f t="array" ref="B50">9.99999999999999E+307*10</f>
        <v>#NUM!</v>
      </c>
    </row>
    <row r="51" spans="1:2" ht="15" x14ac:dyDescent="0.2">
      <c r="A51" t="s">
        <v>51</v>
      </c>
      <c r="B51" cm="1">
        <f t="array" ref="B51">2^-1074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52</v>
      </c>
      <c r="D1">
        <v>10</v>
      </c>
      <c r="E1">
        <v>1</v>
      </c>
      <c r="F1" t="s">
        <v>53</v>
      </c>
      <c r="G1">
        <v>59</v>
      </c>
      <c r="H1">
        <v>2.5</v>
      </c>
    </row>
    <row r="2" spans="1:8" ht="15" x14ac:dyDescent="0.2">
      <c r="A2">
        <v>2</v>
      </c>
      <c r="B2" t="s">
        <v>54</v>
      </c>
      <c r="C2" t="s">
        <v>55</v>
      </c>
      <c r="D2">
        <v>20</v>
      </c>
      <c r="E2">
        <v>3</v>
      </c>
      <c r="F2" t="s">
        <v>56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57</v>
      </c>
      <c r="D3">
        <v>30</v>
      </c>
      <c r="E3">
        <v>5</v>
      </c>
      <c r="F3" t="s">
        <v>58</v>
      </c>
      <c r="G3">
        <v>45351</v>
      </c>
      <c r="H3">
        <v>4.7</v>
      </c>
    </row>
    <row r="4" spans="1:8" ht="15" x14ac:dyDescent="0.2">
      <c r="A4">
        <v>4</v>
      </c>
      <c r="C4" t="s">
        <v>52</v>
      </c>
      <c r="D4">
        <v>40</v>
      </c>
      <c r="E4">
        <v>7</v>
      </c>
      <c r="F4" t="s">
        <v>59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60</v>
      </c>
      <c r="D5">
        <v>50</v>
      </c>
      <c r="E5">
        <v>9</v>
      </c>
      <c r="F5" t="s">
        <v>61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62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2026-10-31T22:30:36Z</dcterms:created>
  <dcterms:modified xsi:type="dcterms:W3CDTF">2026-10-31T22:30:36Z</dcterms:modified>
</cp:coreProperties>
</file>