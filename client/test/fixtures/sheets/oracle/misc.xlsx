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vidfig/Library/Containers/com.microsoft.Excel/Data/golemdocs-sheets/51366-1793500163397/"/>
    </mc:Choice>
  </mc:AlternateContent>
  <xr:revisionPtr revIDLastSave="0" documentId="8_{F3FA5C54-F951-4149-8476-5875387A3961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Cases" sheetId="1" r:id="rId1"/>
    <sheet name="Dat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2" l="1"/>
  <c r="B5" i="2"/>
  <c r="B49" i="1" a="1"/>
  <c r="B48" i="1" a="1"/>
  <c r="B47" i="1" a="1"/>
  <c r="B37" i="1" a="1"/>
  <c r="B32" i="1" a="1"/>
  <c r="B29" i="1" a="1"/>
  <c r="B25" i="1" a="1"/>
  <c r="B24" i="1" a="1"/>
  <c r="B23" i="1" a="1"/>
  <c r="B22" i="1" a="1"/>
  <c r="B21" i="1" a="1"/>
  <c r="B20" i="1" a="1"/>
  <c r="B19" i="1" a="1"/>
  <c r="B18" i="1" a="1"/>
  <c r="B17" i="1" a="1"/>
  <c r="B16" i="1" a="1"/>
  <c r="B15" i="1" a="1"/>
  <c r="B14" i="1" a="1"/>
  <c r="B13" i="1" a="1"/>
  <c r="B12" i="1" a="1"/>
  <c r="B11" i="1" a="1"/>
  <c r="B10" i="1" a="1"/>
  <c r="B9" i="1" a="1"/>
  <c r="B8" i="1" a="1"/>
  <c r="B7" i="1" a="1"/>
  <c r="B6" i="1" a="1"/>
  <c r="B5" i="1" a="1"/>
  <c r="B4" i="1" a="1"/>
  <c r="B3" i="1" a="1"/>
  <c r="B2" i="1" a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<sst xmlns="http://schemas.openxmlformats.org/spreadsheetml/2006/main" count="65" uniqueCount="55">
  <si>
    <t>formula</t>
  </si>
  <si>
    <t>result</t>
  </si>
  <si>
    <t>=VALUETOTEXT("abc",1)</t>
  </si>
  <si>
    <t>=VALUETOTEXT(12.5)</t>
  </si>
  <si>
    <t>=ARRAYTOTEXT({1,"a";TRUE,2})</t>
  </si>
  <si>
    <t>=ARRAYTOTEXT({1,"a";TRUE,2},1)</t>
  </si>
  <si>
    <t>=BAHTTEXT(1234.56)</t>
  </si>
  <si>
    <t>=BAHTTEXT(21)</t>
  </si>
  <si>
    <t>=BAHTTEXT(0)</t>
  </si>
  <si>
    <t>=BAHTTEXT(1000000)</t>
  </si>
  <si>
    <t>=BAHTTEXT(101)</t>
  </si>
  <si>
    <t>=BAHTTEXT(11.01)</t>
  </si>
  <si>
    <t>=REGEXTEST("abc123","[0-9]+")</t>
  </si>
  <si>
    <t>=REGEXTEST("ABC","abc",1)</t>
  </si>
  <si>
    <t>=REGEXEXTRACT("abc123def456","[0-9]+")</t>
  </si>
  <si>
    <t>=REGEXEXTRACT("abc123def456","[0-9]+",1)</t>
  </si>
  <si>
    <t>=REGEXEXTRACT("John Smith","(\w+) (\w+)",2)</t>
  </si>
  <si>
    <t>=REGEXREPLACE("abc123","[0-9]","#")</t>
  </si>
  <si>
    <t>=REGEXREPLACE("a1b2c3","[0-9]","#",2)</t>
  </si>
  <si>
    <t>=CELL("address",Data!C3)</t>
  </si>
  <si>
    <t>=CELL("col",Data!C3)</t>
  </si>
  <si>
    <t>=CELL("contents",Data!A2)</t>
  </si>
  <si>
    <t>=CELL("type",Data!C1)</t>
  </si>
  <si>
    <t>=INFO("recalc")</t>
  </si>
  <si>
    <t>=PERCENTOF(Data!A1:A3,Data!A1:A10)</t>
  </si>
  <si>
    <t>=GROUPBY(Data!J2:J6,Data!K2:K6,SUM)</t>
  </si>
  <si>
    <t>=GROUPBY(Data!J2:J6,Data!K2:K6,AVERAGE,0,0)</t>
  </si>
  <si>
    <t>=PIVOTBY(Data!J2:J6,Data!I2:I6,Data!K2:K6,SUM)</t>
  </si>
  <si>
    <t>=TRIMRANGE(Data!A1:A20)</t>
  </si>
  <si>
    <t>=SUM(TRIMRANGE(Data!H1:H30))</t>
  </si>
  <si>
    <t>=MAP({1,2,3},LAMBDA(x,x*2))</t>
  </si>
  <si>
    <t>=BYROW({1,2;3,4},SUM)</t>
  </si>
  <si>
    <t>apple</t>
  </si>
  <si>
    <t>one</t>
  </si>
  <si>
    <t>Name</t>
  </si>
  <si>
    <t>Region</t>
  </si>
  <si>
    <t>Sales</t>
  </si>
  <si>
    <t>abc</t>
  </si>
  <si>
    <t>Banana</t>
  </si>
  <si>
    <t>three</t>
  </si>
  <si>
    <t>East</t>
  </si>
  <si>
    <t>&gt;90</t>
  </si>
  <si>
    <t>West</t>
  </si>
  <si>
    <t>&gt;200</t>
  </si>
  <si>
    <t>cherry</t>
  </si>
  <si>
    <t>five</t>
  </si>
  <si>
    <t>pear</t>
  </si>
  <si>
    <t>seven</t>
  </si>
  <si>
    <t>fig</t>
  </si>
  <si>
    <t>date</t>
  </si>
  <si>
    <t>nine</t>
  </si>
  <si>
    <t>kiwi</t>
  </si>
  <si>
    <t>North</t>
  </si>
  <si>
    <t>plum</t>
  </si>
  <si>
    <t>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</si>
</sst>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0"/>
  <sheetViews>
    <sheetView tabSelected="1" workbookViewId="0"/>
  </sheetViews>
  <sheetFormatPr baseColWidth="10" defaultRowHeight="16" x14ac:dyDescent="0.2"/>
  <cols>
    <col min="1" max="1" width="48" customWidth="1"/>
    <col min="2" max="8" width="16" customWidth="1"/>
  </cols>
  <sheetData>
    <row r="1" spans="1:3" ht="15" x14ac:dyDescent="0.2">
      <c r="A1" s="1" t="s">
        <v>0</v>
      </c>
      <c r="B1" s="1" t="s">
        <v>1</v>
      </c>
    </row>
    <row r="2" spans="1:3" ht="15" x14ac:dyDescent="0.2">
      <c r="A2" t="s">
        <v>2</v>
      </c>
      <c r="B2" t="str" cm="1">
        <f t="array" ref="B2">_xlfn.VALUETOTEXT("abc",1)</f>
        <v>"abc"</v>
      </c>
    </row>
    <row r="3" spans="1:3" ht="15" x14ac:dyDescent="0.2">
      <c r="A3" t="s">
        <v>3</v>
      </c>
      <c r="B3" t="str" cm="1">
        <f t="array" ref="B3">_xlfn.VALUETOTEXT(12.5)</f>
        <v>12.5</v>
      </c>
    </row>
    <row r="4" spans="1:3" ht="15" x14ac:dyDescent="0.2">
      <c r="A4" t="s">
        <v>4</v>
      </c>
      <c r="B4" t="str" cm="1">
        <f t="array" ref="B4">_xlfn.ARRAYTOTEXT({1,"a";TRUE,2})</f>
        <v>1, a, TRUE, 2</v>
      </c>
    </row>
    <row r="5" spans="1:3" ht="15" x14ac:dyDescent="0.2">
      <c r="A5" t="s">
        <v>5</v>
      </c>
      <c r="B5" t="str" cm="1">
        <f t="array" ref="B5">_xlfn.ARRAYTOTEXT({1,"a";TRUE,2},1)</f>
        <v>{1,"a";TRUE,2}</v>
      </c>
    </row>
    <row r="6" spans="1:3" ht="15" x14ac:dyDescent="0.2">
      <c r="A6" t="s">
        <v>6</v>
      </c>
      <c r="B6" t="str" cm="1">
        <f t="array" ref="B6">BAHTTEXT(1234.56)</f>
        <v>หนึ่งพันสองร้อยสามสิบสี่บาทห้าสิบหกสตางค์</v>
      </c>
    </row>
    <row r="7" spans="1:3" ht="15" x14ac:dyDescent="0.2">
      <c r="A7" t="s">
        <v>7</v>
      </c>
      <c r="B7" t="str" cm="1">
        <f t="array" ref="B7">BAHTTEXT(21)</f>
        <v>ยี่สิบเอ็ดบาทถ้วน</v>
      </c>
    </row>
    <row r="8" spans="1:3" ht="15" x14ac:dyDescent="0.2">
      <c r="A8" t="s">
        <v>8</v>
      </c>
      <c r="B8" t="str" cm="1">
        <f t="array" ref="B8">BAHTTEXT(0)</f>
        <v>ศูนย์บาทถ้วน</v>
      </c>
    </row>
    <row r="9" spans="1:3" ht="15" x14ac:dyDescent="0.2">
      <c r="A9" t="s">
        <v>9</v>
      </c>
      <c r="B9" t="str" cm="1">
        <f t="array" ref="B9">BAHTTEXT(1000000)</f>
        <v>หนึ่งล้านบาทถ้วน</v>
      </c>
    </row>
    <row r="10" spans="1:3" ht="15" x14ac:dyDescent="0.2">
      <c r="A10" t="s">
        <v>10</v>
      </c>
      <c r="B10" t="str" cm="1">
        <f t="array" ref="B10">BAHTTEXT(101)</f>
        <v>หนึ่งร้อยเอ็ดบาทถ้วน</v>
      </c>
    </row>
    <row r="11" spans="1:3" ht="15" x14ac:dyDescent="0.2">
      <c r="A11" t="s">
        <v>11</v>
      </c>
      <c r="B11" t="str" cm="1">
        <f t="array" ref="B11">BAHTTEXT(11.01)</f>
        <v>สิบเอ็ดบาทหนึ่งสตางค์</v>
      </c>
    </row>
    <row r="12" spans="1:3" ht="15" x14ac:dyDescent="0.2">
      <c r="A12" t="s">
        <v>12</v>
      </c>
      <c r="B12" t="b" cm="1">
        <f t="array" ref="B12">_xlfn.REGEXTEST("abc123","[0-9]+")</f>
        <v>1</v>
      </c>
    </row>
    <row r="13" spans="1:3" ht="15" x14ac:dyDescent="0.2">
      <c r="A13" t="s">
        <v>13</v>
      </c>
      <c r="B13" t="b" cm="1">
        <f t="array" ref="B13">_xlfn.REGEXTEST("ABC","abc",1)</f>
        <v>1</v>
      </c>
    </row>
    <row r="14" spans="1:3" ht="15" x14ac:dyDescent="0.2">
      <c r="A14" t="s">
        <v>14</v>
      </c>
      <c r="B14" t="str" cm="1">
        <f t="array" ref="B14">_xlfn.REGEXEXTRACT("abc123def456","[0-9]+")</f>
        <v>123</v>
      </c>
    </row>
    <row r="15" spans="1:3" ht="15" x14ac:dyDescent="0.2">
      <c r="A15" t="s">
        <v>15</v>
      </c>
      <c r="B15" t="str" cm="1">
        <f t="array" ref="B15:C15">_xlfn.REGEXEXTRACT("abc123def456","[0-9]+",1)</f>
        <v>123</v>
      </c>
      <c r="C15" t="str">
        <v>456</v>
      </c>
    </row>
    <row r="16" spans="1:3" ht="15" x14ac:dyDescent="0.2">
      <c r="A16" t="s">
        <v>16</v>
      </c>
      <c r="B16" t="str" cm="1">
        <f t="array" ref="B16:C16">_xlfn.REGEXEXTRACT("John Smith","(\w+) (\w+)",2)</f>
        <v>John</v>
      </c>
      <c r="C16" t="str">
        <v>Smith</v>
      </c>
    </row>
    <row r="17" spans="1:8" ht="15" x14ac:dyDescent="0.2">
      <c r="A17" t="s">
        <v>17</v>
      </c>
      <c r="B17" t="str" cm="1">
        <f t="array" ref="B17">_xlfn.REGEXREPLACE("abc123","[0-9]","#")</f>
        <v>abc###</v>
      </c>
    </row>
    <row r="18" spans="1:8" ht="15" x14ac:dyDescent="0.2">
      <c r="A18" t="s">
        <v>18</v>
      </c>
      <c r="B18" t="str" cm="1">
        <f t="array" ref="B18">_xlfn.REGEXREPLACE("a1b2c3","[0-9]","#",2)</f>
        <v>a1b#c3</v>
      </c>
    </row>
    <row r="19" spans="1:8" ht="15" x14ac:dyDescent="0.2">
      <c r="A19" t="s">
        <v>19</v>
      </c>
      <c r="B19" t="str" cm="1">
        <f t="array" aca="1" ref="B19" ca="1">CELL("address",Data!C3)</f>
        <v>'[4-misc.xlsx]Data'!$C$3</v>
      </c>
    </row>
    <row r="20" spans="1:8" ht="15" x14ac:dyDescent="0.2">
      <c r="A20" t="s">
        <v>20</v>
      </c>
      <c r="B20" cm="1">
        <f t="array" aca="1" ref="B20" ca="1">CELL("col",Data!C3)</f>
        <v>3</v>
      </c>
    </row>
    <row r="21" spans="1:8" ht="15" x14ac:dyDescent="0.2">
      <c r="A21" t="s">
        <v>21</v>
      </c>
      <c r="B21" cm="1">
        <f t="array" aca="1" ref="B21" ca="1">CELL("contents",Data!A2)</f>
        <v>2</v>
      </c>
    </row>
    <row r="22" spans="1:8" ht="15" x14ac:dyDescent="0.2">
      <c r="A22" t="s">
        <v>22</v>
      </c>
      <c r="B22" t="str" cm="1">
        <f t="array" aca="1" ref="B22" ca="1">CELL("type",Data!C1)</f>
        <v>l</v>
      </c>
    </row>
    <row r="23" spans="1:8" ht="15" x14ac:dyDescent="0.2">
      <c r="A23" t="s">
        <v>23</v>
      </c>
      <c r="B23" t="str" cm="1">
        <f t="array" aca="1" ref="B23" ca="1">INFO("recalc")</f>
        <v>Automatic</v>
      </c>
    </row>
    <row r="24" spans="1:8" ht="15" x14ac:dyDescent="0.2">
      <c r="A24" t="s">
        <v>24</v>
      </c>
      <c r="B24" cm="1">
        <f t="array" ref="B24">_xlfn.PERCENTOF(Data!A1:A3,Data!A1:A10)</f>
        <v>0.10909090909090909</v>
      </c>
    </row>
    <row r="25" spans="1:8" ht="15" x14ac:dyDescent="0.2">
      <c r="A25" t="s">
        <v>25</v>
      </c>
      <c r="B25" t="str" cm="1">
        <f t="array" ref="B25:C28">_xlfn.GROUPBY(Data!J2:J6,Data!K2:K6,_xleta.SUM)</f>
        <v>East</v>
      </c>
      <c r="C25">
        <v>175</v>
      </c>
    </row>
    <row r="26" spans="1:8" x14ac:dyDescent="0.2">
      <c r="B26" t="str">
        <v>North</v>
      </c>
      <c r="C26">
        <v>300</v>
      </c>
    </row>
    <row r="27" spans="1:8" x14ac:dyDescent="0.2">
      <c r="B27" t="str">
        <v>West</v>
      </c>
      <c r="C27">
        <v>375</v>
      </c>
    </row>
    <row r="28" spans="1:8" x14ac:dyDescent="0.2">
      <c r="B28" t="str">
        <v>Total</v>
      </c>
      <c r="C28">
        <v>850</v>
      </c>
    </row>
    <row r="29" spans="1:8" ht="15" x14ac:dyDescent="0.2">
      <c r="A29" t="s">
        <v>26</v>
      </c>
      <c r="B29" t="str" cm="1">
        <f t="array" ref="B29:C31">_xlfn.GROUPBY(Data!J2:J6,Data!K2:K6,_xleta.AVERAGE,0,0)</f>
        <v>East</v>
      </c>
      <c r="C29">
        <v>87.5</v>
      </c>
    </row>
    <row r="30" spans="1:8" x14ac:dyDescent="0.2">
      <c r="B30" t="str">
        <v>North</v>
      </c>
      <c r="C30">
        <v>300</v>
      </c>
    </row>
    <row r="31" spans="1:8" x14ac:dyDescent="0.2">
      <c r="B31" t="str">
        <v>West</v>
      </c>
      <c r="C31">
        <v>187.5</v>
      </c>
    </row>
    <row r="32" spans="1:8" ht="15" x14ac:dyDescent="0.2">
      <c r="A32" t="s">
        <v>27</v>
      </c>
      <c r="B32" t="str" cm="1">
        <f t="array" ref="B32:H36">_xlfn.PIVOTBY(Data!J2:J6,Data!I2:I6,Data!K2:K6,_xleta.SUM)</f>
        <v/>
      </c>
      <c r="C32" t="str">
        <v>apple</v>
      </c>
      <c r="D32" t="str">
        <v>fig</v>
      </c>
      <c r="E32" t="str">
        <v>kiwi</v>
      </c>
      <c r="F32" t="str">
        <v>pear</v>
      </c>
      <c r="G32" t="str">
        <v>plum</v>
      </c>
      <c r="H32" t="str">
        <v>Total</v>
      </c>
    </row>
    <row r="33" spans="1:8" x14ac:dyDescent="0.2">
      <c r="B33" t="str">
        <v>East</v>
      </c>
      <c r="C33">
        <v>100</v>
      </c>
      <c r="D33">
        <v>75</v>
      </c>
      <c r="E33" t="str">
        <v/>
      </c>
      <c r="F33" t="str">
        <v/>
      </c>
      <c r="G33" t="str">
        <v/>
      </c>
      <c r="H33">
        <v>175</v>
      </c>
    </row>
    <row r="34" spans="1:8" x14ac:dyDescent="0.2">
      <c r="B34" t="str">
        <v>North</v>
      </c>
      <c r="C34" t="str">
        <v/>
      </c>
      <c r="D34" t="str">
        <v/>
      </c>
      <c r="E34">
        <v>300</v>
      </c>
      <c r="F34" t="str">
        <v/>
      </c>
      <c r="G34" t="str">
        <v/>
      </c>
      <c r="H34">
        <v>300</v>
      </c>
    </row>
    <row r="35" spans="1:8" x14ac:dyDescent="0.2">
      <c r="B35" t="str">
        <v>West</v>
      </c>
      <c r="C35" t="str">
        <v/>
      </c>
      <c r="D35" t="str">
        <v/>
      </c>
      <c r="E35" t="str">
        <v/>
      </c>
      <c r="F35">
        <v>250</v>
      </c>
      <c r="G35">
        <v>125</v>
      </c>
      <c r="H35">
        <v>375</v>
      </c>
    </row>
    <row r="36" spans="1:8" x14ac:dyDescent="0.2">
      <c r="B36" t="str">
        <v>Total</v>
      </c>
      <c r="C36">
        <v>100</v>
      </c>
      <c r="D36">
        <v>75</v>
      </c>
      <c r="E36">
        <v>300</v>
      </c>
      <c r="F36">
        <v>250</v>
      </c>
      <c r="G36">
        <v>125</v>
      </c>
      <c r="H36">
        <v>850</v>
      </c>
    </row>
    <row r="37" spans="1:8" ht="15" x14ac:dyDescent="0.2">
      <c r="A37" t="s">
        <v>28</v>
      </c>
      <c r="B37" cm="1">
        <f t="array" ref="B37:B46">_xlfn.TRIMRANGE(Data!A1:A20)</f>
        <v>1</v>
      </c>
    </row>
    <row r="38" spans="1:8" x14ac:dyDescent="0.2">
      <c r="B38">
        <v>2</v>
      </c>
    </row>
    <row r="39" spans="1:8" x14ac:dyDescent="0.2">
      <c r="B39">
        <v>3</v>
      </c>
    </row>
    <row r="40" spans="1:8" x14ac:dyDescent="0.2">
      <c r="B40">
        <v>4</v>
      </c>
    </row>
    <row r="41" spans="1:8" x14ac:dyDescent="0.2">
      <c r="B41">
        <v>5</v>
      </c>
    </row>
    <row r="42" spans="1:8" x14ac:dyDescent="0.2">
      <c r="B42">
        <v>6</v>
      </c>
    </row>
    <row r="43" spans="1:8" x14ac:dyDescent="0.2">
      <c r="B43">
        <v>7</v>
      </c>
    </row>
    <row r="44" spans="1:8" x14ac:dyDescent="0.2">
      <c r="B44">
        <v>8</v>
      </c>
    </row>
    <row r="45" spans="1:8" x14ac:dyDescent="0.2">
      <c r="B45">
        <v>9</v>
      </c>
    </row>
    <row r="46" spans="1:8" x14ac:dyDescent="0.2">
      <c r="B46">
        <v>10</v>
      </c>
    </row>
    <row r="47" spans="1:8" ht="15" x14ac:dyDescent="0.2">
      <c r="A47" t="s">
        <v>29</v>
      </c>
      <c r="B47" cm="1">
        <f t="array" ref="B47">SUM(_xlfn.TRIMRANGE(Data!H1:H30))</f>
        <v>37.6</v>
      </c>
    </row>
    <row r="48" spans="1:8" ht="15" x14ac:dyDescent="0.2">
      <c r="A48" t="s">
        <v>30</v>
      </c>
      <c r="B48" cm="1">
        <f t="array" ref="B48:D48">_xlfn.MAP({1,2,3},_xlfn.LAMBDA(_xlpm.x,_xlpm.x*2))</f>
        <v>2</v>
      </c>
      <c r="C48">
        <v>4</v>
      </c>
      <c r="D48">
        <v>6</v>
      </c>
    </row>
    <row r="49" spans="1:2" ht="15" x14ac:dyDescent="0.2">
      <c r="A49" t="s">
        <v>31</v>
      </c>
      <c r="B49" cm="1">
        <f t="array" ref="B49:B50">_xlfn.BYROW({1,2;3,4},_xleta.SUM)</f>
        <v>3</v>
      </c>
    </row>
    <row r="50" spans="1:2" x14ac:dyDescent="0.2">
      <c r="B50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0"/>
  <sheetViews>
    <sheetView workbookViewId="0"/>
  </sheetViews>
  <sheetFormatPr baseColWidth="10" defaultRowHeight="16" x14ac:dyDescent="0.2"/>
  <sheetData>
    <row r="1" spans="1:17" ht="15" x14ac:dyDescent="0.2">
      <c r="A1">
        <v>1</v>
      </c>
      <c r="B1">
        <v>5</v>
      </c>
      <c r="C1" t="s">
        <v>32</v>
      </c>
      <c r="D1">
        <v>10</v>
      </c>
      <c r="E1">
        <v>1</v>
      </c>
      <c r="F1" t="s">
        <v>33</v>
      </c>
      <c r="G1">
        <v>59</v>
      </c>
      <c r="H1">
        <v>2.5</v>
      </c>
      <c r="I1" t="s">
        <v>34</v>
      </c>
      <c r="J1" t="s">
        <v>35</v>
      </c>
      <c r="K1" t="s">
        <v>36</v>
      </c>
      <c r="L1" t="s">
        <v>35</v>
      </c>
      <c r="M1" t="s">
        <v>36</v>
      </c>
      <c r="N1" t="s">
        <v>35</v>
      </c>
      <c r="O1" t="s">
        <v>36</v>
      </c>
      <c r="P1">
        <v>5</v>
      </c>
      <c r="Q1">
        <v>2</v>
      </c>
    </row>
    <row r="2" spans="1:17" ht="15" x14ac:dyDescent="0.2">
      <c r="A2">
        <v>2</v>
      </c>
      <c r="B2" t="s">
        <v>37</v>
      </c>
      <c r="C2" t="s">
        <v>38</v>
      </c>
      <c r="D2">
        <v>20</v>
      </c>
      <c r="E2">
        <v>3</v>
      </c>
      <c r="F2" t="s">
        <v>39</v>
      </c>
      <c r="G2">
        <v>61</v>
      </c>
      <c r="H2">
        <v>3.1</v>
      </c>
      <c r="I2" t="s">
        <v>32</v>
      </c>
      <c r="J2" t="s">
        <v>40</v>
      </c>
      <c r="K2">
        <v>100</v>
      </c>
      <c r="L2" t="s">
        <v>40</v>
      </c>
      <c r="M2" t="s">
        <v>41</v>
      </c>
      <c r="N2" t="s">
        <v>42</v>
      </c>
      <c r="O2" t="s">
        <v>43</v>
      </c>
      <c r="P2">
        <v>3</v>
      </c>
      <c r="Q2">
        <v>7</v>
      </c>
    </row>
    <row r="3" spans="1:17" ht="15" x14ac:dyDescent="0.2">
      <c r="A3">
        <v>3</v>
      </c>
      <c r="B3" t="b">
        <v>1</v>
      </c>
      <c r="C3" t="s">
        <v>44</v>
      </c>
      <c r="D3">
        <v>30</v>
      </c>
      <c r="E3">
        <v>5</v>
      </c>
      <c r="F3" t="s">
        <v>45</v>
      </c>
      <c r="G3">
        <v>45351</v>
      </c>
      <c r="H3">
        <v>4.7</v>
      </c>
      <c r="I3" t="s">
        <v>46</v>
      </c>
      <c r="J3" t="s">
        <v>42</v>
      </c>
      <c r="K3">
        <v>250</v>
      </c>
      <c r="P3">
        <v>8</v>
      </c>
      <c r="Q3">
        <v>1</v>
      </c>
    </row>
    <row r="4" spans="1:17" ht="15" x14ac:dyDescent="0.2">
      <c r="A4">
        <v>4</v>
      </c>
      <c r="C4" t="s">
        <v>32</v>
      </c>
      <c r="D4">
        <v>40</v>
      </c>
      <c r="E4">
        <v>7</v>
      </c>
      <c r="F4" t="s">
        <v>47</v>
      </c>
      <c r="G4">
        <v>45657</v>
      </c>
      <c r="H4">
        <v>1.2</v>
      </c>
      <c r="I4" t="s">
        <v>48</v>
      </c>
      <c r="J4" t="s">
        <v>40</v>
      </c>
      <c r="K4">
        <v>75</v>
      </c>
      <c r="P4">
        <v>1</v>
      </c>
      <c r="Q4">
        <v>8</v>
      </c>
    </row>
    <row r="5" spans="1:17" ht="15" x14ac:dyDescent="0.2">
      <c r="A5">
        <v>5</v>
      </c>
      <c r="B5" t="e">
        <f>NA()</f>
        <v>#N/A</v>
      </c>
      <c r="C5" t="s">
        <v>49</v>
      </c>
      <c r="D5">
        <v>50</v>
      </c>
      <c r="E5">
        <v>9</v>
      </c>
      <c r="F5" t="s">
        <v>50</v>
      </c>
      <c r="H5">
        <v>9.9</v>
      </c>
      <c r="I5" t="s">
        <v>51</v>
      </c>
      <c r="J5" t="s">
        <v>52</v>
      </c>
      <c r="K5">
        <v>300</v>
      </c>
      <c r="P5">
        <v>9</v>
      </c>
      <c r="Q5">
        <v>2</v>
      </c>
    </row>
    <row r="6" spans="1:17" ht="15" x14ac:dyDescent="0.2">
      <c r="A6">
        <v>6</v>
      </c>
      <c r="B6">
        <v>45000</v>
      </c>
      <c r="H6">
        <v>3.3</v>
      </c>
      <c r="I6" t="s">
        <v>53</v>
      </c>
      <c r="J6" t="s">
        <v>42</v>
      </c>
      <c r="K6">
        <v>125</v>
      </c>
      <c r="P6">
        <v>2</v>
      </c>
      <c r="Q6">
        <v>8</v>
      </c>
    </row>
    <row r="7" spans="1:17" ht="15" x14ac:dyDescent="0.2">
      <c r="A7">
        <v>7</v>
      </c>
      <c r="B7" t="s">
        <v>54</v>
      </c>
      <c r="H7">
        <v>7.4</v>
      </c>
      <c r="P7">
        <v>7</v>
      </c>
      <c r="Q7">
        <v>1</v>
      </c>
    </row>
    <row r="8" spans="1:17" ht="15" x14ac:dyDescent="0.2">
      <c r="A8">
        <v>8</v>
      </c>
      <c r="B8">
        <v>0</v>
      </c>
      <c r="H8">
        <v>5.5</v>
      </c>
      <c r="P8">
        <v>4</v>
      </c>
      <c r="Q8">
        <v>8</v>
      </c>
    </row>
    <row r="9" spans="1:17" ht="15" x14ac:dyDescent="0.2">
      <c r="A9">
        <v>9</v>
      </c>
      <c r="B9">
        <v>-3.5</v>
      </c>
    </row>
    <row r="10" spans="1:17" ht="15" x14ac:dyDescent="0.2">
      <c r="A10">
        <v>10</v>
      </c>
      <c r="B10" t="str">
        <f>""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Cases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David Figatner</cp:lastModifiedBy>
  <dcterms:created xsi:type="dcterms:W3CDTF">2026-11-01T02:29:27Z</dcterms:created>
  <dcterms:modified xsi:type="dcterms:W3CDTF">2026-11-01T02:29:27Z</dcterms:modified>
</cp:coreProperties>
</file>