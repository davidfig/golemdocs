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51366-1793500163397/"/>
    </mc:Choice>
  </mc:AlternateContent>
  <xr:revisionPtr revIDLastSave="0" documentId="8_{74884C4D-A465-6140-B24A-1F38AE85525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41" i="1" a="1"/>
  <c r="B40" i="1" a="1"/>
  <c r="B39" i="1" a="1"/>
  <c r="B38" i="1" a="1"/>
  <c r="B37" i="1" a="1"/>
  <c r="B36" i="1" a="1"/>
  <c r="B35" i="1" a="1"/>
  <c r="B34" i="1" a="1"/>
  <c r="B33" i="1" a="1"/>
  <c r="B25" i="1" a="1"/>
  <c r="B23" i="1" a="1"/>
  <c r="B21" i="1" a="1"/>
  <c r="B16" i="1" a="1"/>
  <c r="B15" i="1" a="1"/>
  <c r="B14" i="1" a="1"/>
  <c r="B9" i="1" a="1"/>
  <c r="B8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<sst xmlns="http://schemas.openxmlformats.org/spreadsheetml/2006/main" count="54" uniqueCount="44">
  <si>
    <t>formula</t>
  </si>
  <si>
    <t>result</t>
  </si>
  <si>
    <t>=LINEST(Data!H1:H8,Data!A1:A8)</t>
  </si>
  <si>
    <t>=LINEST(Data!H1:H8,Data!A1:A8,TRUE,TRUE)</t>
  </si>
  <si>
    <t>=LINEST(Data!H1:H8,Data!P1:Q8)</t>
  </si>
  <si>
    <t>=LINEST(Data!H1:H8,Data!P1:Q8,TRUE,TRUE)</t>
  </si>
  <si>
    <t>=LINEST(Data!H1:H8,Data!A1:A8,FALSE)</t>
  </si>
  <si>
    <t>=LOGEST(Data!H1:H8,Data!A1:A8)</t>
  </si>
  <si>
    <t>=LOGEST(Data!H1:H8,Data!A1:A8,TRUE,TRUE)</t>
  </si>
  <si>
    <t>=TREND(Data!H1:H8,Data!A1:A8,{9;10})</t>
  </si>
  <si>
    <t>=GROWTH(Data!H1:H8,Data!A1:A8,{9;10})</t>
  </si>
  <si>
    <t>=TREND(Data!H1:H8)</t>
  </si>
  <si>
    <t>=T.TEST(Data!H1:H8,Data!A1:A8,2,1)</t>
  </si>
  <si>
    <t>=T.TEST(Data!H1:H8,Data!A1:A8,2,2)</t>
  </si>
  <si>
    <t>=T.TEST(Data!H1:H8,Data!A1:A8,1,3)</t>
  </si>
  <si>
    <t>=Z.TEST(Data!H1:H8,4)</t>
  </si>
  <si>
    <t>=Z.TEST(Data!H1:H8,4,2)</t>
  </si>
  <si>
    <t>=CHISQ.TEST({58,35;11,25;10,23},{45.35,47.65;17.56,18.44;16.09,16.91})</t>
  </si>
  <si>
    <t>=F.TEST(Data!H1:H8,Data!A1:A8)</t>
  </si>
  <si>
    <t>=HYPGEOMDIST(1,4,8,20)</t>
  </si>
  <si>
    <t>=NEGBINOMDIST(10,5,0.25)</t>
  </si>
  <si>
    <t>apple</t>
  </si>
  <si>
    <t>one</t>
  </si>
  <si>
    <t>Name</t>
  </si>
  <si>
    <t>Region</t>
  </si>
  <si>
    <t>Sales</t>
  </si>
  <si>
    <t>abc</t>
  </si>
  <si>
    <t>Banana</t>
  </si>
  <si>
    <t>three</t>
  </si>
  <si>
    <t>East</t>
  </si>
  <si>
    <t>&gt;90</t>
  </si>
  <si>
    <t>West</t>
  </si>
  <si>
    <t>&gt;200</t>
  </si>
  <si>
    <t>cherry</t>
  </si>
  <si>
    <t>five</t>
  </si>
  <si>
    <t>pear</t>
  </si>
  <si>
    <t>seven</t>
  </si>
  <si>
    <t>fig</t>
  </si>
  <si>
    <t>date</t>
  </si>
  <si>
    <t>nine</t>
  </si>
  <si>
    <t>kiwi</t>
  </si>
  <si>
    <t>North</t>
  </si>
  <si>
    <t>plum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</si>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</sst>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4" ht="15" x14ac:dyDescent="0.2">
      <c r="A1" s="1" t="s">
        <v>0</v>
      </c>
      <c r="B1" s="1" t="s">
        <v>1</v>
      </c>
    </row>
    <row r="2" spans="1:4" ht="15" x14ac:dyDescent="0.2">
      <c r="A2" t="s">
        <v>2</v>
      </c>
      <c r="B2" cm="1">
        <f t="array" ref="B2:C2">LINEST(Data!H1:H8,Data!A1:A8)</f>
        <v>0.55952380952380953</v>
      </c>
      <c r="C2">
        <v>2.1821428571428574</v>
      </c>
    </row>
    <row r="3" spans="1:4" ht="15" x14ac:dyDescent="0.2">
      <c r="A3" t="s">
        <v>3</v>
      </c>
      <c r="B3" cm="1">
        <f t="array" ref="B3:C7">LINEST(Data!H1:H8,Data!A1:A8,TRUE,TRUE)</f>
        <v>0.55952380952380953</v>
      </c>
      <c r="C3">
        <v>2.1821428571428574</v>
      </c>
    </row>
    <row r="4" spans="1:4" x14ac:dyDescent="0.2">
      <c r="B4">
        <v>0.4151457502530127</v>
      </c>
      <c r="C4">
        <v>2.0963832774101658</v>
      </c>
    </row>
    <row r="5" spans="1:4" x14ac:dyDescent="0.2">
      <c r="B5">
        <v>0.23239324008146928</v>
      </c>
      <c r="C5">
        <v>2.6904519594357645</v>
      </c>
    </row>
    <row r="6" spans="1:4" x14ac:dyDescent="0.2">
      <c r="B6">
        <v>1.8165022942695355</v>
      </c>
      <c r="C6">
        <v>6</v>
      </c>
    </row>
    <row r="7" spans="1:4" x14ac:dyDescent="0.2">
      <c r="B7">
        <v>13.148809523809533</v>
      </c>
      <c r="C7">
        <v>43.431190476190473</v>
      </c>
    </row>
    <row r="8" spans="1:4" ht="15" x14ac:dyDescent="0.2">
      <c r="A8" t="s">
        <v>4</v>
      </c>
      <c r="B8" cm="1">
        <f t="array" ref="B8:D8">LINEST(Data!H1:H8,Data!P1:Q8)</f>
        <v>0.7066312056737587</v>
      </c>
      <c r="C8">
        <v>1.5195390070921986</v>
      </c>
      <c r="D8">
        <v>-5.9759219858156021</v>
      </c>
    </row>
    <row r="9" spans="1:4" ht="15" x14ac:dyDescent="0.2">
      <c r="A9" t="s">
        <v>5</v>
      </c>
      <c r="B9" cm="1">
        <f t="array" ref="B9:D13">LINEST(Data!H1:H8,Data!P1:Q8,TRUE,TRUE)</f>
        <v>0.7066312056737587</v>
      </c>
      <c r="C9">
        <v>1.5195390070921986</v>
      </c>
      <c r="D9">
        <v>-5.9759219858156021</v>
      </c>
    </row>
    <row r="10" spans="1:4" x14ac:dyDescent="0.2">
      <c r="B10">
        <v>0.34045401439653539</v>
      </c>
      <c r="C10">
        <v>0.39655043896245507</v>
      </c>
      <c r="D10">
        <v>3.4404561703029528</v>
      </c>
    </row>
    <row r="11" spans="1:4" x14ac:dyDescent="0.2">
      <c r="B11">
        <v>0.81601880473013799</v>
      </c>
      <c r="C11">
        <v>1.4428898799540313</v>
      </c>
      <c r="D11" t="e">
        <v>#N/A</v>
      </c>
    </row>
    <row r="12" spans="1:4" x14ac:dyDescent="0.2">
      <c r="B12">
        <v>11.088345245463927</v>
      </c>
      <c r="C12">
        <v>5</v>
      </c>
      <c r="D12" t="e">
        <v>#N/A</v>
      </c>
    </row>
    <row r="13" spans="1:4" x14ac:dyDescent="0.2">
      <c r="B13">
        <v>46.170343971631212</v>
      </c>
      <c r="C13">
        <v>10.409656028368795</v>
      </c>
      <c r="D13" t="e">
        <v>#N/A</v>
      </c>
    </row>
    <row r="14" spans="1:4" ht="15" x14ac:dyDescent="0.2">
      <c r="A14" t="s">
        <v>6</v>
      </c>
      <c r="B14" cm="1">
        <f t="array" ref="B14:C14">LINEST(Data!H1:H8,Data!A1:A8,FALSE)</f>
        <v>0.94460784313725477</v>
      </c>
      <c r="C14">
        <v>0</v>
      </c>
    </row>
    <row r="15" spans="1:4" ht="15" x14ac:dyDescent="0.2">
      <c r="A15" t="s">
        <v>7</v>
      </c>
      <c r="B15" cm="1">
        <f t="array" ref="B15:C15">LOGEST(Data!H1:H8,Data!A1:A8)</f>
        <v>1.1388132538970013</v>
      </c>
      <c r="C15">
        <v>2.1953523589292887</v>
      </c>
    </row>
    <row r="16" spans="1:4" ht="15" x14ac:dyDescent="0.2">
      <c r="A16" t="s">
        <v>8</v>
      </c>
      <c r="B16" cm="1">
        <f t="array" ref="B16:C20">LOGEST(Data!H1:H8,Data!A1:A8,TRUE,TRUE)</f>
        <v>1.1388132538970013</v>
      </c>
      <c r="C16">
        <v>2.1953523589292887</v>
      </c>
    </row>
    <row r="17" spans="1:3" x14ac:dyDescent="0.2">
      <c r="B17">
        <v>9.7348140486994528E-2</v>
      </c>
      <c r="C17">
        <v>0.49158401279438324</v>
      </c>
    </row>
    <row r="18" spans="1:3" x14ac:dyDescent="0.2">
      <c r="B18">
        <v>0.22908549108654919</v>
      </c>
      <c r="C18">
        <v>0.63088805596839137</v>
      </c>
    </row>
    <row r="19" spans="1:3" x14ac:dyDescent="0.2">
      <c r="B19">
        <v>1.7829641686943645</v>
      </c>
      <c r="C19">
        <v>6</v>
      </c>
    </row>
    <row r="20" spans="1:3" x14ac:dyDescent="0.2">
      <c r="B20">
        <v>0.70965493336173324</v>
      </c>
      <c r="C20">
        <v>2.3881184349814566</v>
      </c>
    </row>
    <row r="21" spans="1:3" ht="15" x14ac:dyDescent="0.2">
      <c r="A21" t="s">
        <v>9</v>
      </c>
      <c r="B21" cm="1">
        <f t="array" ref="B21:B22">TREND(Data!H1:H8,Data!A1:A8,{9;10})</f>
        <v>7.2178571428571434</v>
      </c>
    </row>
    <row r="22" spans="1:3" x14ac:dyDescent="0.2">
      <c r="B22">
        <v>7.7773809523809518</v>
      </c>
    </row>
    <row r="23" spans="1:3" ht="15" x14ac:dyDescent="0.2">
      <c r="A23" t="s">
        <v>10</v>
      </c>
      <c r="B23" cm="1">
        <f t="array" ref="B23:B24">GROWTH(Data!H1:H8,Data!A1:A8,{9;10})</f>
        <v>7.0725634470505003</v>
      </c>
    </row>
    <row r="24" spans="1:3" x14ac:dyDescent="0.2">
      <c r="B24">
        <v>8.0543289925285713</v>
      </c>
    </row>
    <row r="25" spans="1:3" ht="15" x14ac:dyDescent="0.2">
      <c r="A25" t="s">
        <v>11</v>
      </c>
      <c r="B25" cm="1">
        <f t="array" ref="B25:B32">TREND(Data!H1:H8)</f>
        <v>2.7416666666666671</v>
      </c>
    </row>
    <row r="26" spans="1:3" x14ac:dyDescent="0.2">
      <c r="B26">
        <v>3.3011904761904765</v>
      </c>
    </row>
    <row r="27" spans="1:3" x14ac:dyDescent="0.2">
      <c r="B27">
        <v>3.8607142857142858</v>
      </c>
    </row>
    <row r="28" spans="1:3" x14ac:dyDescent="0.2">
      <c r="B28">
        <v>4.420238095238096</v>
      </c>
    </row>
    <row r="29" spans="1:3" x14ac:dyDescent="0.2">
      <c r="B29">
        <v>4.9797619047619044</v>
      </c>
    </row>
    <row r="30" spans="1:3" x14ac:dyDescent="0.2">
      <c r="B30">
        <v>5.5392857142857146</v>
      </c>
    </row>
    <row r="31" spans="1:3" x14ac:dyDescent="0.2">
      <c r="B31">
        <v>6.0988095238095248</v>
      </c>
    </row>
    <row r="32" spans="1:3" x14ac:dyDescent="0.2">
      <c r="B32">
        <v>6.6583333333333332</v>
      </c>
    </row>
    <row r="33" spans="1:2" ht="15" x14ac:dyDescent="0.2">
      <c r="A33" t="s">
        <v>12</v>
      </c>
      <c r="B33" cm="1">
        <f t="array" ref="B33">_xlfn.T.TEST(Data!H1:H8,Data!A1:A8,2,1)</f>
        <v>0.84085593926625868</v>
      </c>
    </row>
    <row r="34" spans="1:2" ht="15" x14ac:dyDescent="0.2">
      <c r="A34" t="s">
        <v>13</v>
      </c>
      <c r="B34" cm="1">
        <f t="array" ref="B34">_xlfn.T.TEST(Data!H1:H8,Data!A1:A8,2,2)</f>
        <v>0.88233088959828998</v>
      </c>
    </row>
    <row r="35" spans="1:2" ht="15" x14ac:dyDescent="0.2">
      <c r="A35" t="s">
        <v>14</v>
      </c>
      <c r="B35" cm="1">
        <f t="array" ref="B35">_xlfn.T.TEST(Data!H1:H8,Data!A1:A8,1,3)</f>
        <v>0.44118870688598588</v>
      </c>
    </row>
    <row r="36" spans="1:2" ht="15" x14ac:dyDescent="0.2">
      <c r="A36" t="s">
        <v>15</v>
      </c>
      <c r="B36" cm="1">
        <f t="array" ref="B36">_xlfn.Z.TEST(Data!H1:H8,4)</f>
        <v>0.24308826819162149</v>
      </c>
    </row>
    <row r="37" spans="1:2" ht="15" x14ac:dyDescent="0.2">
      <c r="A37" t="s">
        <v>16</v>
      </c>
      <c r="B37" cm="1">
        <f t="array" ref="B37">_xlfn.Z.TEST(Data!H1:H8,4,2)</f>
        <v>0.16109940308129064</v>
      </c>
    </row>
    <row r="38" spans="1:2" ht="15" x14ac:dyDescent="0.2">
      <c r="A38" t="s">
        <v>17</v>
      </c>
      <c r="B38" cm="1">
        <f t="array" ref="B38">_xlfn.CHISQ.TEST({58,35;11,25;10,23},{45.35,47.65;17.56,18.44;16.09,16.91})</f>
        <v>3.0819201700830936E-4</v>
      </c>
    </row>
    <row r="39" spans="1:2" ht="15" x14ac:dyDescent="0.2">
      <c r="A39" t="s">
        <v>18</v>
      </c>
      <c r="B39" cm="1">
        <f t="array" ref="B39">_xlfn.F.TEST(Data!H1:H8,Data!A1:A8)</f>
        <v>0.70413860894126989</v>
      </c>
    </row>
    <row r="40" spans="1:2" ht="15" x14ac:dyDescent="0.2">
      <c r="A40" t="s">
        <v>19</v>
      </c>
      <c r="B40" cm="1">
        <f t="array" ref="B40">HYPGEOMDIST(1,4,8,20)</f>
        <v>0.36326109391124861</v>
      </c>
    </row>
    <row r="41" spans="1:2" ht="15" x14ac:dyDescent="0.2">
      <c r="A41" t="s">
        <v>20</v>
      </c>
      <c r="B41" cm="1">
        <f t="array" ref="B41">NEGBINOMDIST(10,5,0.25)</f>
        <v>5.5048660375177853E-2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/>
  </sheetViews>
  <sheetFormatPr baseColWidth="10" defaultRowHeight="16" x14ac:dyDescent="0.2"/>
  <sheetData>
    <row r="1" spans="1:17" ht="15" x14ac:dyDescent="0.2">
      <c r="A1">
        <v>1</v>
      </c>
      <c r="B1">
        <v>5</v>
      </c>
      <c r="C1" t="s">
        <v>21</v>
      </c>
      <c r="D1">
        <v>10</v>
      </c>
      <c r="E1">
        <v>1</v>
      </c>
      <c r="F1" t="s">
        <v>22</v>
      </c>
      <c r="G1">
        <v>59</v>
      </c>
      <c r="H1">
        <v>2.5</v>
      </c>
      <c r="I1" t="s">
        <v>23</v>
      </c>
      <c r="J1" t="s">
        <v>24</v>
      </c>
      <c r="K1" t="s">
        <v>25</v>
      </c>
      <c r="L1" t="s">
        <v>24</v>
      </c>
      <c r="M1" t="s">
        <v>25</v>
      </c>
      <c r="N1" t="s">
        <v>24</v>
      </c>
      <c r="O1" t="s">
        <v>25</v>
      </c>
      <c r="P1">
        <v>5</v>
      </c>
      <c r="Q1">
        <v>2</v>
      </c>
    </row>
    <row r="2" spans="1:17" ht="15" x14ac:dyDescent="0.2">
      <c r="A2">
        <v>2</v>
      </c>
      <c r="B2" t="s">
        <v>26</v>
      </c>
      <c r="C2" t="s">
        <v>27</v>
      </c>
      <c r="D2">
        <v>20</v>
      </c>
      <c r="E2">
        <v>3</v>
      </c>
      <c r="F2" t="s">
        <v>28</v>
      </c>
      <c r="G2">
        <v>61</v>
      </c>
      <c r="H2">
        <v>3.1</v>
      </c>
      <c r="I2" t="s">
        <v>21</v>
      </c>
      <c r="J2" t="s">
        <v>29</v>
      </c>
      <c r="K2">
        <v>100</v>
      </c>
      <c r="L2" t="s">
        <v>29</v>
      </c>
      <c r="M2" t="s">
        <v>30</v>
      </c>
      <c r="N2" t="s">
        <v>31</v>
      </c>
      <c r="O2" t="s">
        <v>32</v>
      </c>
      <c r="P2">
        <v>3</v>
      </c>
      <c r="Q2">
        <v>7</v>
      </c>
    </row>
    <row r="3" spans="1:17" ht="15" x14ac:dyDescent="0.2">
      <c r="A3">
        <v>3</v>
      </c>
      <c r="B3" t="b">
        <v>1</v>
      </c>
      <c r="C3" t="s">
        <v>33</v>
      </c>
      <c r="D3">
        <v>30</v>
      </c>
      <c r="E3">
        <v>5</v>
      </c>
      <c r="F3" t="s">
        <v>34</v>
      </c>
      <c r="G3">
        <v>45351</v>
      </c>
      <c r="H3">
        <v>4.7</v>
      </c>
      <c r="I3" t="s">
        <v>35</v>
      </c>
      <c r="J3" t="s">
        <v>31</v>
      </c>
      <c r="K3">
        <v>250</v>
      </c>
      <c r="P3">
        <v>8</v>
      </c>
      <c r="Q3">
        <v>1</v>
      </c>
    </row>
    <row r="4" spans="1:17" ht="15" x14ac:dyDescent="0.2">
      <c r="A4">
        <v>4</v>
      </c>
      <c r="C4" t="s">
        <v>21</v>
      </c>
      <c r="D4">
        <v>40</v>
      </c>
      <c r="E4">
        <v>7</v>
      </c>
      <c r="F4" t="s">
        <v>36</v>
      </c>
      <c r="G4">
        <v>45657</v>
      </c>
      <c r="H4">
        <v>1.2</v>
      </c>
      <c r="I4" t="s">
        <v>37</v>
      </c>
      <c r="J4" t="s">
        <v>29</v>
      </c>
      <c r="K4">
        <v>75</v>
      </c>
      <c r="P4">
        <v>1</v>
      </c>
      <c r="Q4">
        <v>8</v>
      </c>
    </row>
    <row r="5" spans="1:17" ht="15" x14ac:dyDescent="0.2">
      <c r="A5">
        <v>5</v>
      </c>
      <c r="B5" t="e">
        <f>NA()</f>
        <v>#N/A</v>
      </c>
      <c r="C5" t="s">
        <v>38</v>
      </c>
      <c r="D5">
        <v>50</v>
      </c>
      <c r="E5">
        <v>9</v>
      </c>
      <c r="F5" t="s">
        <v>39</v>
      </c>
      <c r="H5">
        <v>9.9</v>
      </c>
      <c r="I5" t="s">
        <v>40</v>
      </c>
      <c r="J5" t="s">
        <v>41</v>
      </c>
      <c r="K5">
        <v>300</v>
      </c>
      <c r="P5">
        <v>9</v>
      </c>
      <c r="Q5">
        <v>2</v>
      </c>
    </row>
    <row r="6" spans="1:17" ht="15" x14ac:dyDescent="0.2">
      <c r="A6">
        <v>6</v>
      </c>
      <c r="B6">
        <v>45000</v>
      </c>
      <c r="H6">
        <v>3.3</v>
      </c>
      <c r="I6" t="s">
        <v>42</v>
      </c>
      <c r="J6" t="s">
        <v>31</v>
      </c>
      <c r="K6">
        <v>125</v>
      </c>
      <c r="P6">
        <v>2</v>
      </c>
      <c r="Q6">
        <v>8</v>
      </c>
    </row>
    <row r="7" spans="1:17" ht="15" x14ac:dyDescent="0.2">
      <c r="A7">
        <v>7</v>
      </c>
      <c r="B7" t="s">
        <v>43</v>
      </c>
      <c r="H7">
        <v>7.4</v>
      </c>
      <c r="P7">
        <v>7</v>
      </c>
      <c r="Q7">
        <v>1</v>
      </c>
    </row>
    <row r="8" spans="1:17" ht="15" x14ac:dyDescent="0.2">
      <c r="A8">
        <v>8</v>
      </c>
      <c r="B8">
        <v>0</v>
      </c>
      <c r="H8">
        <v>5.5</v>
      </c>
      <c r="P8">
        <v>4</v>
      </c>
      <c r="Q8">
        <v>8</v>
      </c>
    </row>
    <row r="9" spans="1:17" ht="15" x14ac:dyDescent="0.2">
      <c r="A9">
        <v>9</v>
      </c>
      <c r="B9">
        <v>-3.5</v>
      </c>
    </row>
    <row r="10" spans="1:17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2026-11-01T02:29:26Z</dcterms:created>
  <dcterms:modified xsi:type="dcterms:W3CDTF">2026-11-01T02:29:26Z</dcterms:modified>
</cp:coreProperties>
</file>