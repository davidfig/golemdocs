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ig/Library/Containers/com.microsoft.Excel/Data/golemdocs-sheets/16591-1793485835374/"/>
    </mc:Choice>
  </mc:AlternateContent>
  <xr:revisionPtr revIDLastSave="0" documentId="8_{6E528011-6AEE-DB48-9C11-DC563386599B}" xr6:coauthVersionLast="47" xr6:coauthVersionMax="47" xr10:uidLastSave="{00000000-0000-0000-0000-000000000000}"/>
  <bookViews>
    <workbookView xWindow="0" yWindow="0" windowWidth="34560" windowHeight="22340" xr2:uid="{00000000-000D-0000-FFFF-FFFF00000000}"/>
  </bookViews>
  <sheets>
    <sheet name="Case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B5" i="2"/>
  <c r="B36" i="1" a="1"/>
  <c r="B35" i="1" a="1"/>
  <c r="B34" i="1" a="1"/>
  <c r="B33" i="1" a="1"/>
  <c r="B32" i="1" a="1"/>
  <c r="B31" i="1" a="1"/>
  <c r="B30" i="1" a="1"/>
  <c r="B29" i="1" a="1"/>
  <c r="B28" i="1" a="1"/>
  <c r="B27" i="1" a="1"/>
  <c r="B26" i="1" a="1"/>
  <c r="B25" i="1" a="1"/>
  <c r="B24" i="1" a="1"/>
  <c r="B23" i="1" a="1"/>
  <c r="B22" i="1" a="1"/>
  <c r="B21" i="1" a="1"/>
  <c r="B20" i="1" a="1"/>
  <c r="B19" i="1" a="1"/>
  <c r="B18" i="1" a="1"/>
  <c r="B17" i="1" a="1"/>
  <c r="B16" i="1" a="1"/>
  <c r="B15" i="1" a="1"/>
  <c r="B14" i="1" a="1"/>
  <c r="B13" i="1" a="1"/>
  <c r="B12" i="1" a="1"/>
  <c r="B11" i="1" a="1"/>
  <c r="B10" i="1" a="1"/>
  <c r="B9" i="1" a="1"/>
  <c r="B8" i="1" a="1"/>
  <c r="B7" i="1" a="1"/>
  <c r="B6" i="1" a="1"/>
  <c r="B5" i="1" a="1"/>
  <c r="B4" i="1" a="1"/>
  <c r="B3" i="1" a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<sst xmlns="http://schemas.openxmlformats.org/spreadsheetml/2006/main" count="49" uniqueCount="48">
  <si>
    <t>formula</t>
  </si>
  <si>
    <t>result</t>
  </si>
  <si>
    <t>=AVERAGE(Data!B1:B10)</t>
  </si>
  <si>
    <t>=AVERAGEA(Data!B1:B3)</t>
  </si>
  <si>
    <t>=AVERAGE(Data!B4)</t>
  </si>
  <si>
    <t>=COUNT(Data!B1:B10)</t>
  </si>
  <si>
    <t>=COUNTA(Data!B1:B10)</t>
  </si>
  <si>
    <t>=COUNTBLANK(Data!B1:B10)</t>
  </si>
  <si>
    <t>=MAX(Data!H1:H8)</t>
  </si>
  <si>
    <t>=MIN(Data!B1:B10)</t>
  </si>
  <si>
    <t>=MEDIAN(Data!H1:H8)</t>
  </si>
  <si>
    <t>=MODE.SNGL(1,2,2,3)</t>
  </si>
  <si>
    <t>=STDEV.S(Data!H1:H8)</t>
  </si>
  <si>
    <t>=STDEV.P(Data!H1:H8)</t>
  </si>
  <si>
    <t>=VAR.S(Data!H1:H8)</t>
  </si>
  <si>
    <t>=LARGE(Data!H1:H8,2)</t>
  </si>
  <si>
    <t>=SMALL(Data!H1:H8,9)</t>
  </si>
  <si>
    <t>=RANK.EQ(4.7,Data!H1:H8)</t>
  </si>
  <si>
    <t>=RANK.AVG(4.7,Data!H1:H8,1)</t>
  </si>
  <si>
    <t>=PERCENTILE.INC(Data!H1:H8,0.3)</t>
  </si>
  <si>
    <t>=PERCENTILE.EXC(Data!H1:H8,0.3)</t>
  </si>
  <si>
    <t>=QUARTILE.INC(Data!H1:H8,1)</t>
  </si>
  <si>
    <t>=CORREL(Data!A1:A8,Data!H1:H8)</t>
  </si>
  <si>
    <t>=SLOPE(Data!H1:H8,Data!A1:A8)</t>
  </si>
  <si>
    <t>=FORECAST.LINEAR(9,Data!H1:H8,Data!A1:A8)</t>
  </si>
  <si>
    <t>=NORM.DIST(1,0,1,TRUE)</t>
  </si>
  <si>
    <t>=NORM.S.INV(0.975)</t>
  </si>
  <si>
    <t>=T.INV.2T(0.05,10)</t>
  </si>
  <si>
    <t>=T.DIST(1.5,10,TRUE)</t>
  </si>
  <si>
    <t>=CHISQ.DIST.RT(3.84,1)</t>
  </si>
  <si>
    <t>=F.DIST(2,3,4,TRUE)</t>
  </si>
  <si>
    <t>=BINOM.DIST(3,10,0.5,FALSE)</t>
  </si>
  <si>
    <t>=POISSON.DIST(2,3,TRUE)</t>
  </si>
  <si>
    <t>=GAMMA.DIST(2,3,1,TRUE)</t>
  </si>
  <si>
    <t>=BETA.INV(0.5,2,3)</t>
  </si>
  <si>
    <t>=GAMMALN(10)</t>
  </si>
  <si>
    <t>=GEOMEAN(Data!H1:H8)</t>
  </si>
  <si>
    <t>apple</t>
  </si>
  <si>
    <t>one</t>
  </si>
  <si>
    <t>abc</t>
  </si>
  <si>
    <t>Banana</t>
  </si>
  <si>
    <t>three</t>
  </si>
  <si>
    <t>cherry</t>
  </si>
  <si>
    <t>five</t>
  </si>
  <si>
    <t>seven</t>
  </si>
  <si>
    <t>date</t>
  </si>
  <si>
    <t>nine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</si>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</sst>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/>
  </sheetViews>
  <sheetFormatPr baseColWidth="10" defaultRowHeight="16" x14ac:dyDescent="0.2"/>
  <cols>
    <col min="1" max="1" width="48" customWidth="1"/>
    <col min="2" max="8" width="16" customWidth="1"/>
  </cols>
  <sheetData>
    <row r="1" spans="1:2" ht="15" x14ac:dyDescent="0.2">
      <c r="A1" s="1" t="s">
        <v>0</v>
      </c>
      <c r="B1" s="1" t="s">
        <v>1</v>
      </c>
    </row>
    <row r="2" spans="1:2" ht="15" x14ac:dyDescent="0.2">
      <c r="A2" t="s">
        <v>2</v>
      </c>
      <c r="B2" t="e" cm="1">
        <f t="array" ref="B2">AVERAGE(Data!B1:B10)</f>
        <v>#N/A</v>
      </c>
    </row>
    <row r="3" spans="1:2" ht="15" x14ac:dyDescent="0.2">
      <c r="A3" t="s">
        <v>3</v>
      </c>
      <c r="B3" cm="1">
        <f t="array" ref="B3">AVERAGEA(Data!B1:B3)</f>
        <v>2</v>
      </c>
    </row>
    <row r="4" spans="1:2" ht="15" x14ac:dyDescent="0.2">
      <c r="A4" t="s">
        <v>4</v>
      </c>
      <c r="B4" t="e" cm="1">
        <f t="array" ref="B4">AVERAGE(Data!B4)</f>
        <v>#DIV/0!</v>
      </c>
    </row>
    <row r="5" spans="1:2" ht="15" x14ac:dyDescent="0.2">
      <c r="A5" t="s">
        <v>5</v>
      </c>
      <c r="B5" cm="1">
        <f t="array" ref="B5">COUNT(Data!B1:B10)</f>
        <v>4</v>
      </c>
    </row>
    <row r="6" spans="1:2" ht="15" x14ac:dyDescent="0.2">
      <c r="A6" t="s">
        <v>6</v>
      </c>
      <c r="B6" cm="1">
        <f t="array" ref="B6">COUNTA(Data!B1:B10)</f>
        <v>9</v>
      </c>
    </row>
    <row r="7" spans="1:2" ht="15" x14ac:dyDescent="0.2">
      <c r="A7" t="s">
        <v>7</v>
      </c>
      <c r="B7" cm="1">
        <f t="array" ref="B7">COUNTBLANK(Data!B1:B10)</f>
        <v>2</v>
      </c>
    </row>
    <row r="8" spans="1:2" ht="15" x14ac:dyDescent="0.2">
      <c r="A8" t="s">
        <v>8</v>
      </c>
      <c r="B8" cm="1">
        <f t="array" ref="B8">MAX(Data!H1:H8)</f>
        <v>9.9</v>
      </c>
    </row>
    <row r="9" spans="1:2" ht="15" x14ac:dyDescent="0.2">
      <c r="A9" t="s">
        <v>9</v>
      </c>
      <c r="B9" t="e" cm="1">
        <f t="array" ref="B9">MIN(Data!B1:B10)</f>
        <v>#N/A</v>
      </c>
    </row>
    <row r="10" spans="1:2" ht="15" x14ac:dyDescent="0.2">
      <c r="A10" t="s">
        <v>10</v>
      </c>
      <c r="B10" cm="1">
        <f t="array" ref="B10">MEDIAN(Data!H1:H8)</f>
        <v>4</v>
      </c>
    </row>
    <row r="11" spans="1:2" ht="15" x14ac:dyDescent="0.2">
      <c r="A11" t="s">
        <v>11</v>
      </c>
      <c r="B11" cm="1">
        <f t="array" ref="B11">_xlfn.MODE.SNGL(1,2,2,3)</f>
        <v>2</v>
      </c>
    </row>
    <row r="12" spans="1:2" ht="15" x14ac:dyDescent="0.2">
      <c r="A12" t="s">
        <v>12</v>
      </c>
      <c r="B12" cm="1">
        <f t="array" ref="B12">_xlfn.STDEV.S(Data!H1:H8)</f>
        <v>2.8430366059650272</v>
      </c>
    </row>
    <row r="13" spans="1:2" ht="15" x14ac:dyDescent="0.2">
      <c r="A13" t="s">
        <v>13</v>
      </c>
      <c r="B13" cm="1">
        <f t="array" ref="B13">_xlfn.STDEV.P(Data!H1:H8)</f>
        <v>2.6594172293944398</v>
      </c>
    </row>
    <row r="14" spans="1:2" ht="15" x14ac:dyDescent="0.2">
      <c r="A14" t="s">
        <v>14</v>
      </c>
      <c r="B14" cm="1">
        <f t="array" ref="B14">_xlfn.VAR.S(Data!H1:H8)</f>
        <v>8.0828571428571401</v>
      </c>
    </row>
    <row r="15" spans="1:2" ht="15" x14ac:dyDescent="0.2">
      <c r="A15" t="s">
        <v>15</v>
      </c>
      <c r="B15" cm="1">
        <f t="array" ref="B15">LARGE(Data!H1:H8,2)</f>
        <v>7.4</v>
      </c>
    </row>
    <row r="16" spans="1:2" ht="15" x14ac:dyDescent="0.2">
      <c r="A16" t="s">
        <v>16</v>
      </c>
      <c r="B16" t="e" cm="1">
        <f t="array" ref="B16">SMALL(Data!H1:H8,9)</f>
        <v>#NUM!</v>
      </c>
    </row>
    <row r="17" spans="1:2" ht="15" x14ac:dyDescent="0.2">
      <c r="A17" t="s">
        <v>17</v>
      </c>
      <c r="B17" cm="1">
        <f t="array" ref="B17">_xlfn.RANK.EQ(4.7,Data!H1:H8)</f>
        <v>4</v>
      </c>
    </row>
    <row r="18" spans="1:2" ht="15" x14ac:dyDescent="0.2">
      <c r="A18" t="s">
        <v>18</v>
      </c>
      <c r="B18" cm="1">
        <f t="array" ref="B18">_xlfn.RANK.AVG(4.7,Data!H1:H8,1)</f>
        <v>5</v>
      </c>
    </row>
    <row r="19" spans="1:2" ht="15" x14ac:dyDescent="0.2">
      <c r="A19" t="s">
        <v>19</v>
      </c>
      <c r="B19" cm="1">
        <f t="array" ref="B19">_xlfn.PERCENTILE.INC(Data!H1:H8,0.3)</f>
        <v>3.12</v>
      </c>
    </row>
    <row r="20" spans="1:2" ht="15" x14ac:dyDescent="0.2">
      <c r="A20" t="s">
        <v>20</v>
      </c>
      <c r="B20" cm="1">
        <f t="array" ref="B20">_xlfn.PERCENTILE.EXC(Data!H1:H8,0.3)</f>
        <v>2.92</v>
      </c>
    </row>
    <row r="21" spans="1:2" ht="15" x14ac:dyDescent="0.2">
      <c r="A21" t="s">
        <v>21</v>
      </c>
      <c r="B21" cm="1">
        <f t="array" ref="B21">_xlfn.QUARTILE.INC(Data!H1:H8,1)</f>
        <v>2.95</v>
      </c>
    </row>
    <row r="22" spans="1:2" ht="15" x14ac:dyDescent="0.2">
      <c r="A22" t="s">
        <v>22</v>
      </c>
      <c r="B22" cm="1">
        <f t="array" ref="B22">CORREL(Data!A1:A8,Data!H1:H8)</f>
        <v>0.48207182045984509</v>
      </c>
    </row>
    <row r="23" spans="1:2" ht="15" x14ac:dyDescent="0.2">
      <c r="A23" t="s">
        <v>23</v>
      </c>
      <c r="B23" cm="1">
        <f t="array" ref="B23">SLOPE(Data!H1:H8,Data!A1:A8)</f>
        <v>0.55952380952380953</v>
      </c>
    </row>
    <row r="24" spans="1:2" ht="15" x14ac:dyDescent="0.2">
      <c r="A24" t="s">
        <v>24</v>
      </c>
      <c r="B24" cm="1">
        <f t="array" ref="B24">_xlfn.FORECAST.LINEAR(9,Data!H1:H8,Data!A1:A8)</f>
        <v>7.2178571428571434</v>
      </c>
    </row>
    <row r="25" spans="1:2" ht="15" x14ac:dyDescent="0.2">
      <c r="A25" t="s">
        <v>25</v>
      </c>
      <c r="B25" cm="1">
        <f t="array" ref="B25">_xlfn.NORM.DIST(1,0,1,TRUE)</f>
        <v>0.84134474606854304</v>
      </c>
    </row>
    <row r="26" spans="1:2" ht="15" x14ac:dyDescent="0.2">
      <c r="A26" t="s">
        <v>26</v>
      </c>
      <c r="B26" cm="1">
        <f t="array" ref="B26">_xlfn.NORM.S.INV(0.975)</f>
        <v>1.9599639845400536</v>
      </c>
    </row>
    <row r="27" spans="1:2" ht="15" x14ac:dyDescent="0.2">
      <c r="A27" t="s">
        <v>27</v>
      </c>
      <c r="B27" cm="1">
        <f t="array" ref="B27">_xlfn.T.INV.2T(0.05,10)</f>
        <v>2.2281388519862744</v>
      </c>
    </row>
    <row r="28" spans="1:2" ht="15" x14ac:dyDescent="0.2">
      <c r="A28" t="s">
        <v>28</v>
      </c>
      <c r="B28" cm="1">
        <f t="array" ref="B28">_xlfn.T.DIST(1.5,10,TRUE)</f>
        <v>0.9177463367772799</v>
      </c>
    </row>
    <row r="29" spans="1:2" ht="15" x14ac:dyDescent="0.2">
      <c r="A29" t="s">
        <v>29</v>
      </c>
      <c r="B29" cm="1">
        <f t="array" ref="B29">_xlfn.CHISQ.DIST.RT(3.84,1)</f>
        <v>5.0043521248705113E-2</v>
      </c>
    </row>
    <row r="30" spans="1:2" ht="15" x14ac:dyDescent="0.2">
      <c r="A30" t="s">
        <v>30</v>
      </c>
      <c r="B30" cm="1">
        <f t="array" ref="B30">_xlfn.F.DIST(2,3,4,TRUE)</f>
        <v>0.74361280247182382</v>
      </c>
    </row>
    <row r="31" spans="1:2" ht="15" x14ac:dyDescent="0.2">
      <c r="A31" t="s">
        <v>31</v>
      </c>
      <c r="B31" cm="1">
        <f t="array" ref="B31">_xlfn.BINOM.DIST(3,10,0.5,FALSE)</f>
        <v>0.11718750000000003</v>
      </c>
    </row>
    <row r="32" spans="1:2" ht="15" x14ac:dyDescent="0.2">
      <c r="A32" t="s">
        <v>32</v>
      </c>
      <c r="B32" cm="1">
        <f t="array" ref="B32">_xlfn.POISSON.DIST(2,3,TRUE)</f>
        <v>0.42319008112684342</v>
      </c>
    </row>
    <row r="33" spans="1:2" ht="15" x14ac:dyDescent="0.2">
      <c r="A33" t="s">
        <v>33</v>
      </c>
      <c r="B33" cm="1">
        <f t="array" ref="B33">_xlfn.GAMMA.DIST(2,3,1,TRUE)</f>
        <v>0.3233235838169366</v>
      </c>
    </row>
    <row r="34" spans="1:2" ht="15" x14ac:dyDescent="0.2">
      <c r="A34" t="s">
        <v>34</v>
      </c>
      <c r="B34" cm="1">
        <f t="array" ref="B34">_xlfn.BETA.INV(0.5,2,3)</f>
        <v>0.38572756813238951</v>
      </c>
    </row>
    <row r="35" spans="1:2" ht="15" x14ac:dyDescent="0.2">
      <c r="A35" t="s">
        <v>35</v>
      </c>
      <c r="B35" cm="1">
        <f t="array" ref="B35">GAMMALN(10)</f>
        <v>12.801827480081471</v>
      </c>
    </row>
    <row r="36" spans="1:2" ht="15" x14ac:dyDescent="0.2">
      <c r="A36" t="s">
        <v>36</v>
      </c>
      <c r="B36" cm="1">
        <f t="array" ref="B36">GEOMEAN(Data!H1:H8)</f>
        <v>3.9404021174442811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baseColWidth="10" defaultRowHeight="16" x14ac:dyDescent="0.2"/>
  <sheetData>
    <row r="1" spans="1:8" ht="15" x14ac:dyDescent="0.2">
      <c r="A1">
        <v>1</v>
      </c>
      <c r="B1">
        <v>5</v>
      </c>
      <c r="C1" t="s">
        <v>37</v>
      </c>
      <c r="D1">
        <v>10</v>
      </c>
      <c r="E1">
        <v>1</v>
      </c>
      <c r="F1" t="s">
        <v>38</v>
      </c>
      <c r="G1">
        <v>59</v>
      </c>
      <c r="H1">
        <v>2.5</v>
      </c>
    </row>
    <row r="2" spans="1:8" ht="15" x14ac:dyDescent="0.2">
      <c r="A2">
        <v>2</v>
      </c>
      <c r="B2" t="s">
        <v>39</v>
      </c>
      <c r="C2" t="s">
        <v>40</v>
      </c>
      <c r="D2">
        <v>20</v>
      </c>
      <c r="E2">
        <v>3</v>
      </c>
      <c r="F2" t="s">
        <v>41</v>
      </c>
      <c r="G2">
        <v>61</v>
      </c>
      <c r="H2">
        <v>3.1</v>
      </c>
    </row>
    <row r="3" spans="1:8" ht="15" x14ac:dyDescent="0.2">
      <c r="A3">
        <v>3</v>
      </c>
      <c r="B3" t="b">
        <v>1</v>
      </c>
      <c r="C3" t="s">
        <v>42</v>
      </c>
      <c r="D3">
        <v>30</v>
      </c>
      <c r="E3">
        <v>5</v>
      </c>
      <c r="F3" t="s">
        <v>43</v>
      </c>
      <c r="G3">
        <v>45351</v>
      </c>
      <c r="H3">
        <v>4.7</v>
      </c>
    </row>
    <row r="4" spans="1:8" ht="15" x14ac:dyDescent="0.2">
      <c r="A4">
        <v>4</v>
      </c>
      <c r="C4" t="s">
        <v>37</v>
      </c>
      <c r="D4">
        <v>40</v>
      </c>
      <c r="E4">
        <v>7</v>
      </c>
      <c r="F4" t="s">
        <v>44</v>
      </c>
      <c r="G4">
        <v>45657</v>
      </c>
      <c r="H4">
        <v>1.2</v>
      </c>
    </row>
    <row r="5" spans="1:8" ht="15" x14ac:dyDescent="0.2">
      <c r="A5">
        <v>5</v>
      </c>
      <c r="B5" t="e">
        <f>NA()</f>
        <v>#N/A</v>
      </c>
      <c r="C5" t="s">
        <v>45</v>
      </c>
      <c r="D5">
        <v>50</v>
      </c>
      <c r="E5">
        <v>9</v>
      </c>
      <c r="F5" t="s">
        <v>46</v>
      </c>
      <c r="H5">
        <v>9.9</v>
      </c>
    </row>
    <row r="6" spans="1:8" ht="15" x14ac:dyDescent="0.2">
      <c r="A6">
        <v>6</v>
      </c>
      <c r="B6">
        <v>45000</v>
      </c>
      <c r="H6">
        <v>3.3</v>
      </c>
    </row>
    <row r="7" spans="1:8" ht="15" x14ac:dyDescent="0.2">
      <c r="A7">
        <v>7</v>
      </c>
      <c r="B7" t="s">
        <v>47</v>
      </c>
      <c r="H7">
        <v>7.4</v>
      </c>
    </row>
    <row r="8" spans="1:8" ht="15" x14ac:dyDescent="0.2">
      <c r="A8">
        <v>8</v>
      </c>
      <c r="B8">
        <v>0</v>
      </c>
      <c r="H8">
        <v>5.5</v>
      </c>
    </row>
    <row r="9" spans="1:8" ht="15" x14ac:dyDescent="0.2">
      <c r="A9">
        <v>9</v>
      </c>
      <c r="B9">
        <v>-3.5</v>
      </c>
    </row>
    <row r="10" spans="1:8" ht="15" x14ac:dyDescent="0.2">
      <c r="A10">
        <v>10</v>
      </c>
      <c r="B10" t="str">
        <f>""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Figatner</cp:lastModifiedBy>
  <dcterms:created xsi:type="dcterms:W3CDTF">2026-10-31T22:30:41Z</dcterms:created>
  <dcterms:modified xsi:type="dcterms:W3CDTF">2026-10-31T22:30:41Z</dcterms:modified>
</cp:coreProperties>
</file>