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57455-1793500749818/"/>
    </mc:Choice>
  </mc:AlternateContent>
  <xr:revisionPtr revIDLastSave="0" documentId="8_{9713689A-AF19-4E4F-9E8C-8BBDFE04734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<sst xmlns="http://schemas.openxmlformats.org/spreadsheetml/2006/main" count="47" uniqueCount="37">
  <si>
    <t>formula</t>
  </si>
  <si>
    <t>result</t>
  </si>
  <si>
    <t>=SUM(Sales[Sales])</t>
  </si>
  <si>
    <t>=AVERAGE(Sales[Sales])</t>
  </si>
  <si>
    <t>=Sales[[#Headers],[Region]]</t>
  </si>
  <si>
    <t>=COUNTA(Sales[#All])</t>
  </si>
  <si>
    <t>=ROWS(Sales[#Data])</t>
  </si>
  <si>
    <t>=INDEX(Sales[Name],2)</t>
  </si>
  <si>
    <t>=SUMIFS(Sales[Sales],Sales[Region],"West")</t>
  </si>
  <si>
    <t>=XLOOKUP("fig",Sales[Name],Sales[Sales])</t>
  </si>
  <si>
    <t>=COLUMNS(Sales[[Name]:[Region]])</t>
  </si>
  <si>
    <t>=COUNTIF(Sales[Region],"East")</t>
  </si>
  <si>
    <t>=MAX(Sales[[#Data],[Sales]])</t>
  </si>
  <si>
    <t>=ROWS(Sales[#Headers])</t>
  </si>
  <si>
    <t>apple</t>
  </si>
  <si>
    <t>one</t>
  </si>
  <si>
    <t>Name</t>
  </si>
  <si>
    <t>Region</t>
  </si>
  <si>
    <t>Sales</t>
  </si>
  <si>
    <t>abc</t>
  </si>
  <si>
    <t>Banana</t>
  </si>
  <si>
    <t>three</t>
  </si>
  <si>
    <t>East</t>
  </si>
  <si>
    <t>&gt;90</t>
  </si>
  <si>
    <t>West</t>
  </si>
  <si>
    <t>&gt;200</t>
  </si>
  <si>
    <t>cherry</t>
  </si>
  <si>
    <t>five</t>
  </si>
  <si>
    <t>pear</t>
  </si>
  <si>
    <t>seven</t>
  </si>
  <si>
    <t>fig</t>
  </si>
  <si>
    <t>date</t>
  </si>
  <si>
    <t>nine</t>
  </si>
  <si>
    <t>kiwi</t>
  </si>
  <si>
    <t>North</t>
  </si>
  <si>
    <t>plum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</si>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</sst>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I1:K6">
  <autoFilter ref="I1:K6" xr:uid="{00000000-0009-0000-0100-000001000000}"/>
  <tableColumns count="3">
    <tableColumn id="1" xr3:uid="{00000000-0010-0000-0000-000001000000}" name="Name"/>
    <tableColumn id="2" xr3:uid="{00000000-0010-0000-0000-000002000000}" name="Region"/>
    <tableColumn id="3" xr3:uid="{00000000-0010-0000-0000-00000300000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cm="1">
        <f t="array" ref="B2">SUM(Sales[Sales])</f>
        <v>850</v>
      </c>
    </row>
    <row r="3" spans="1:2" ht="15" x14ac:dyDescent="0.2">
      <c r="A3" t="s">
        <v>3</v>
      </c>
      <c r="B3" cm="1">
        <f t="array" ref="B3">AVERAGE(Sales[Sales])</f>
        <v>170</v>
      </c>
    </row>
    <row r="4" spans="1:2" ht="15" x14ac:dyDescent="0.2">
      <c r="A4" t="s">
        <v>4</v>
      </c>
      <c r="B4" t="str" cm="1">
        <f t="array" ref="B4">Sales[[#Headers],[Region]]</f>
        <v>Region</v>
      </c>
    </row>
    <row r="5" spans="1:2" ht="15" x14ac:dyDescent="0.2">
      <c r="A5" t="s">
        <v>5</v>
      </c>
      <c r="B5" cm="1">
        <f t="array" ref="B5">COUNTA(Sales[#All])</f>
        <v>18</v>
      </c>
    </row>
    <row r="6" spans="1:2" ht="15" x14ac:dyDescent="0.2">
      <c r="A6" t="s">
        <v>6</v>
      </c>
      <c r="B6" cm="1">
        <f t="array" ref="B6">ROWS(Sales[#Data])</f>
        <v>5</v>
      </c>
    </row>
    <row r="7" spans="1:2" ht="15" x14ac:dyDescent="0.2">
      <c r="A7" t="s">
        <v>7</v>
      </c>
      <c r="B7" t="str" cm="1">
        <f t="array" ref="B7">INDEX(Sales[Name],2)</f>
        <v>pear</v>
      </c>
    </row>
    <row r="8" spans="1:2" ht="15" x14ac:dyDescent="0.2">
      <c r="A8" t="s">
        <v>8</v>
      </c>
      <c r="B8" cm="1">
        <f t="array" ref="B8">SUMIFS(Sales[Sales],Sales[Region],"West")</f>
        <v>375</v>
      </c>
    </row>
    <row r="9" spans="1:2" ht="15" x14ac:dyDescent="0.2">
      <c r="A9" t="s">
        <v>9</v>
      </c>
      <c r="B9" cm="1">
        <f t="array" ref="B9">_xlfn.XLOOKUP("fig",Sales[Name],Sales[Sales])</f>
        <v>75</v>
      </c>
    </row>
    <row r="10" spans="1:2" ht="15" x14ac:dyDescent="0.2">
      <c r="A10" t="s">
        <v>10</v>
      </c>
      <c r="B10" cm="1">
        <f t="array" ref="B10">COLUMNS(Sales[[Name]:[Region]])</f>
        <v>2</v>
      </c>
    </row>
    <row r="11" spans="1:2" ht="15" x14ac:dyDescent="0.2">
      <c r="A11" t="s">
        <v>11</v>
      </c>
      <c r="B11" cm="1">
        <f t="array" ref="B11">COUNTIF(Sales[Region],"East")</f>
        <v>2</v>
      </c>
    </row>
    <row r="12" spans="1:2" ht="15" x14ac:dyDescent="0.2">
      <c r="A12" t="s">
        <v>12</v>
      </c>
      <c r="B12" cm="1">
        <f t="array" ref="B12">MAX(Sales[[#Data],[Sales]])</f>
        <v>300</v>
      </c>
    </row>
    <row r="13" spans="1:2" ht="15" x14ac:dyDescent="0.2">
      <c r="A13" t="s">
        <v>13</v>
      </c>
      <c r="B13" cm="1">
        <f t="array" ref="B13">ROWS(Sales[#Headers])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/>
  </sheetViews>
  <sheetFormatPr baseColWidth="10" defaultRowHeight="16" x14ac:dyDescent="0.2"/>
  <sheetData>
    <row r="1" spans="1:17" ht="15" x14ac:dyDescent="0.2">
      <c r="A1">
        <v>1</v>
      </c>
      <c r="B1">
        <v>5</v>
      </c>
      <c r="C1" t="s">
        <v>14</v>
      </c>
      <c r="D1">
        <v>10</v>
      </c>
      <c r="E1">
        <v>1</v>
      </c>
      <c r="F1" t="s">
        <v>15</v>
      </c>
      <c r="G1">
        <v>59</v>
      </c>
      <c r="H1">
        <v>2.5</v>
      </c>
      <c r="I1" t="s">
        <v>16</v>
      </c>
      <c r="J1" t="s">
        <v>17</v>
      </c>
      <c r="K1" t="s">
        <v>18</v>
      </c>
      <c r="L1" t="s">
        <v>17</v>
      </c>
      <c r="M1" t="s">
        <v>18</v>
      </c>
      <c r="N1" t="s">
        <v>17</v>
      </c>
      <c r="O1" t="s">
        <v>18</v>
      </c>
      <c r="P1">
        <v>5</v>
      </c>
      <c r="Q1">
        <v>2</v>
      </c>
    </row>
    <row r="2" spans="1:17" ht="15" x14ac:dyDescent="0.2">
      <c r="A2">
        <v>2</v>
      </c>
      <c r="B2" t="s">
        <v>19</v>
      </c>
      <c r="C2" t="s">
        <v>20</v>
      </c>
      <c r="D2">
        <v>20</v>
      </c>
      <c r="E2">
        <v>3</v>
      </c>
      <c r="F2" t="s">
        <v>21</v>
      </c>
      <c r="G2">
        <v>61</v>
      </c>
      <c r="H2">
        <v>3.1</v>
      </c>
      <c r="I2" t="s">
        <v>14</v>
      </c>
      <c r="J2" t="s">
        <v>22</v>
      </c>
      <c r="K2">
        <v>100</v>
      </c>
      <c r="L2" t="s">
        <v>22</v>
      </c>
      <c r="M2" t="s">
        <v>23</v>
      </c>
      <c r="N2" t="s">
        <v>24</v>
      </c>
      <c r="O2" t="s">
        <v>25</v>
      </c>
      <c r="P2">
        <v>3</v>
      </c>
      <c r="Q2">
        <v>7</v>
      </c>
    </row>
    <row r="3" spans="1:17" ht="15" x14ac:dyDescent="0.2">
      <c r="A3">
        <v>3</v>
      </c>
      <c r="B3" t="b">
        <v>1</v>
      </c>
      <c r="C3" t="s">
        <v>26</v>
      </c>
      <c r="D3">
        <v>30</v>
      </c>
      <c r="E3">
        <v>5</v>
      </c>
      <c r="F3" t="s">
        <v>27</v>
      </c>
      <c r="G3">
        <v>45351</v>
      </c>
      <c r="H3">
        <v>4.7</v>
      </c>
      <c r="I3" t="s">
        <v>28</v>
      </c>
      <c r="J3" t="s">
        <v>24</v>
      </c>
      <c r="K3">
        <v>250</v>
      </c>
      <c r="P3">
        <v>8</v>
      </c>
      <c r="Q3">
        <v>1</v>
      </c>
    </row>
    <row r="4" spans="1:17" ht="15" x14ac:dyDescent="0.2">
      <c r="A4">
        <v>4</v>
      </c>
      <c r="C4" t="s">
        <v>14</v>
      </c>
      <c r="D4">
        <v>40</v>
      </c>
      <c r="E4">
        <v>7</v>
      </c>
      <c r="F4" t="s">
        <v>29</v>
      </c>
      <c r="G4">
        <v>45657</v>
      </c>
      <c r="H4">
        <v>1.2</v>
      </c>
      <c r="I4" t="s">
        <v>30</v>
      </c>
      <c r="J4" t="s">
        <v>22</v>
      </c>
      <c r="K4">
        <v>75</v>
      </c>
      <c r="P4">
        <v>1</v>
      </c>
      <c r="Q4">
        <v>8</v>
      </c>
    </row>
    <row r="5" spans="1:17" ht="15" x14ac:dyDescent="0.2">
      <c r="A5">
        <v>5</v>
      </c>
      <c r="B5" t="e">
        <f>NA()</f>
        <v>#N/A</v>
      </c>
      <c r="C5" t="s">
        <v>31</v>
      </c>
      <c r="D5">
        <v>50</v>
      </c>
      <c r="E5">
        <v>9</v>
      </c>
      <c r="F5" t="s">
        <v>32</v>
      </c>
      <c r="H5">
        <v>9.9</v>
      </c>
      <c r="I5" t="s">
        <v>33</v>
      </c>
      <c r="J5" t="s">
        <v>34</v>
      </c>
      <c r="K5">
        <v>300</v>
      </c>
      <c r="P5">
        <v>9</v>
      </c>
      <c r="Q5">
        <v>2</v>
      </c>
    </row>
    <row r="6" spans="1:17" ht="15" x14ac:dyDescent="0.2">
      <c r="A6">
        <v>6</v>
      </c>
      <c r="B6">
        <v>45000</v>
      </c>
      <c r="H6">
        <v>3.3</v>
      </c>
      <c r="I6" t="s">
        <v>35</v>
      </c>
      <c r="J6" t="s">
        <v>24</v>
      </c>
      <c r="K6">
        <v>125</v>
      </c>
      <c r="P6">
        <v>2</v>
      </c>
      <c r="Q6">
        <v>8</v>
      </c>
    </row>
    <row r="7" spans="1:17" ht="15" x14ac:dyDescent="0.2">
      <c r="A7">
        <v>7</v>
      </c>
      <c r="B7" t="s">
        <v>36</v>
      </c>
      <c r="H7">
        <v>7.4</v>
      </c>
      <c r="P7">
        <v>7</v>
      </c>
      <c r="Q7">
        <v>1</v>
      </c>
    </row>
    <row r="8" spans="1:17" ht="15" x14ac:dyDescent="0.2">
      <c r="A8">
        <v>8</v>
      </c>
      <c r="B8">
        <v>0</v>
      </c>
      <c r="H8">
        <v>5.5</v>
      </c>
      <c r="P8">
        <v>4</v>
      </c>
      <c r="Q8">
        <v>8</v>
      </c>
    </row>
    <row r="9" spans="1:17" ht="15" x14ac:dyDescent="0.2">
      <c r="A9">
        <v>9</v>
      </c>
      <c r="B9">
        <v>-3.5</v>
      </c>
    </row>
    <row r="10" spans="1:17" ht="15" x14ac:dyDescent="0.2">
      <c r="A10">
        <v>10</v>
      </c>
      <c r="B10" t="str">
        <f>""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2026-11-01T02:39:10Z</dcterms:created>
  <dcterms:modified xsi:type="dcterms:W3CDTF">2026-11-01T02:39:10Z</dcterms:modified>
</cp:coreProperties>
</file>