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1E0B5EB2-58B0-CC49-8ABA-4E51F432ECEC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40" i="1" a="1"/>
  <c r="B39" i="1" a="1"/>
  <c r="B38" i="1" a="1"/>
  <c r="B37" i="1" a="1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<sst xmlns="http://schemas.openxmlformats.org/spreadsheetml/2006/main" count="53" uniqueCount="52">
  <si>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formula</t>
  </si>
  <si>
    <t>result</t>
  </si>
  <si>
    <t>=LEFT("hello",2)</t>
  </si>
  <si>
    <t>=RIGHT("hello",10)</t>
  </si>
  <si>
    <t>=MID("hello",2,3)</t>
  </si>
  <si>
    <t>=MID("hello",0,1)</t>
  </si>
  <si>
    <t>=LEN("héllo😀")</t>
  </si>
  <si>
    <t>=UPPER("straße")</t>
  </si>
  <si>
    <t>=PROPER("hello WORLD o'neil")</t>
  </si>
  <si>
    <t>=TRIM("  a   b  ")</t>
  </si>
  <si>
    <t>=SUBSTITUTE("aaa","a","b",2)</t>
  </si>
  <si>
    <t>=REPLACE("abcdef",2,3,"X")</t>
  </si>
  <si>
    <t>=FIND("b","abcb",3)</t>
  </si>
  <si>
    <t>=FIND("z","abc")</t>
  </si>
  <si>
    <t>=SEARCH("B?","abcb")</t>
  </si>
  <si>
    <t>=CONCAT(Data!C1:C3)</t>
  </si>
  <si>
    <t>=TEXTJOIN("-",TRUE,Data!B1:B4)</t>
  </si>
  <si>
    <t>="a"&amp;1&amp;TRUE</t>
  </si>
  <si>
    <t>=REPT("ab",3)</t>
  </si>
  <si>
    <t>=EXACT("a","A")</t>
  </si>
  <si>
    <t>=CODE("A")</t>
  </si>
  <si>
    <t>=CHAR(65)</t>
  </si>
  <si>
    <t>=UNICHAR(128512)</t>
  </si>
  <si>
    <t>=VALUE("1,234.5")</t>
  </si>
  <si>
    <t>=VALUE("12%")</t>
  </si>
  <si>
    <t>=VALUE("abc")</t>
  </si>
  <si>
    <t>=NUMBERVALUE("1.234,5",",",".")</t>
  </si>
  <si>
    <t>=TEXT(1234.567,"#,##0.00")</t>
  </si>
  <si>
    <t>=TEXT(0.5,"0%")</t>
  </si>
  <si>
    <t>=TEXT(45351,"dddd, mmmm d, yyyy")</t>
  </si>
  <si>
    <t>=TEXT(-1.5,"0.0;(0.0)")</t>
  </si>
  <si>
    <t>=TEXT(0.75,"h:mm AM/PM")</t>
  </si>
  <si>
    <t>=TEXT(1234567,"0.00E+00")</t>
  </si>
  <si>
    <t>=TEXT(3.14159,"# ?/?")</t>
  </si>
  <si>
    <t>=FIXED(1234.567,1)</t>
  </si>
  <si>
    <t>=DOLLAR(-1234.5)</t>
  </si>
  <si>
    <t>=T(5)</t>
  </si>
  <si>
    <t>=N("5")</t>
  </si>
  <si>
    <t>=CLEAN("a"&amp;CHAR(7)&amp;"b")</t>
  </si>
  <si>
    <t>=TEXTBEFORE("a-b-c","-",-1)</t>
  </si>
  <si>
    <t>=TEXTAFTER("a-b-c","-")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</si>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</sst>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str" cm="1">
        <f t="array" ref="B2">LEFT("hello",2)</f>
        <v>he</v>
      </c>
    </row>
    <row r="3" spans="1:2" ht="15" x14ac:dyDescent="0.2">
      <c r="A3" t="s">
        <v>3</v>
      </c>
      <c r="B3" t="str" cm="1">
        <f t="array" ref="B3">RIGHT("hello",10)</f>
        <v>hello</v>
      </c>
    </row>
    <row r="4" spans="1:2" ht="15" x14ac:dyDescent="0.2">
      <c r="A4" t="s">
        <v>4</v>
      </c>
      <c r="B4" t="str" cm="1">
        <f t="array" ref="B4">MID("hello",2,3)</f>
        <v>ell</v>
      </c>
    </row>
    <row r="5" spans="1:2" ht="15" x14ac:dyDescent="0.2">
      <c r="A5" t="s">
        <v>5</v>
      </c>
      <c r="B5" t="e" cm="1">
        <f t="array" ref="B5">MID("hello",0,1)</f>
        <v>#VALUE!</v>
      </c>
    </row>
    <row r="6" spans="1:2" ht="15" x14ac:dyDescent="0.2">
      <c r="A6" t="s">
        <v>6</v>
      </c>
      <c r="B6" cm="1">
        <f t="array" ref="B6">LEN("héllo😀")</f>
        <v>7</v>
      </c>
    </row>
    <row r="7" spans="1:2" ht="15" x14ac:dyDescent="0.2">
      <c r="A7" t="s">
        <v>7</v>
      </c>
      <c r="B7" t="str" cm="1">
        <f t="array" ref="B7">UPPER("straße")</f>
        <v>STRAßE</v>
      </c>
    </row>
    <row r="8" spans="1:2" ht="15" x14ac:dyDescent="0.2">
      <c r="A8" t="s">
        <v>8</v>
      </c>
      <c r="B8" t="str" cm="1">
        <f t="array" ref="B8">PROPER("hello WORLD o'neil")</f>
        <v>Hello World O'Neil</v>
      </c>
    </row>
    <row r="9" spans="1:2" ht="15" x14ac:dyDescent="0.2">
      <c r="A9" t="s">
        <v>9</v>
      </c>
      <c r="B9" t="str" cm="1">
        <f t="array" ref="B9">TRIM("  a   b  ")</f>
        <v>a b</v>
      </c>
    </row>
    <row r="10" spans="1:2" ht="15" x14ac:dyDescent="0.2">
      <c r="A10" t="s">
        <v>10</v>
      </c>
      <c r="B10" t="str" cm="1">
        <f t="array" ref="B10">SUBSTITUTE("aaa","a","b",2)</f>
        <v>aba</v>
      </c>
    </row>
    <row r="11" spans="1:2" ht="15" x14ac:dyDescent="0.2">
      <c r="A11" t="s">
        <v>11</v>
      </c>
      <c r="B11" t="str" cm="1">
        <f t="array" ref="B11">REPLACE("abcdef",2,3,"X")</f>
        <v>aXef</v>
      </c>
    </row>
    <row r="12" spans="1:2" ht="15" x14ac:dyDescent="0.2">
      <c r="A12" t="s">
        <v>12</v>
      </c>
      <c r="B12" cm="1">
        <f t="array" ref="B12">FIND("b","abcb",3)</f>
        <v>4</v>
      </c>
    </row>
    <row r="13" spans="1:2" ht="15" x14ac:dyDescent="0.2">
      <c r="A13" t="s">
        <v>13</v>
      </c>
      <c r="B13" t="e" cm="1">
        <f t="array" ref="B13">FIND("z","abc")</f>
        <v>#VALUE!</v>
      </c>
    </row>
    <row r="14" spans="1:2" ht="15" x14ac:dyDescent="0.2">
      <c r="A14" t="s">
        <v>14</v>
      </c>
      <c r="B14" cm="1">
        <f t="array" ref="B14">SEARCH("B?","abcb")</f>
        <v>2</v>
      </c>
    </row>
    <row r="15" spans="1:2" ht="15" x14ac:dyDescent="0.2">
      <c r="A15" t="s">
        <v>15</v>
      </c>
      <c r="B15" t="str" cm="1">
        <f t="array" ref="B15">_xlfn.CONCAT(Data!C1:C3)</f>
        <v>appleBananacherry</v>
      </c>
    </row>
    <row r="16" spans="1:2" ht="15" x14ac:dyDescent="0.2">
      <c r="A16" t="s">
        <v>16</v>
      </c>
      <c r="B16" t="str" cm="1">
        <f t="array" ref="B16">_xlfn.TEXTJOIN("-",TRUE,Data!B1:B4)</f>
        <v>5-abc-TRUE</v>
      </c>
    </row>
    <row r="17" spans="1:2" ht="15" x14ac:dyDescent="0.2">
      <c r="A17" t="s">
        <v>17</v>
      </c>
      <c r="B17" t="str" cm="1">
        <f t="array" ref="B17">"a"&amp;1&amp;TRUE</f>
        <v>a1TRUE</v>
      </c>
    </row>
    <row r="18" spans="1:2" ht="15" x14ac:dyDescent="0.2">
      <c r="A18" t="s">
        <v>18</v>
      </c>
      <c r="B18" t="str" cm="1">
        <f t="array" ref="B18">REPT("ab",3)</f>
        <v>ababab</v>
      </c>
    </row>
    <row r="19" spans="1:2" ht="15" x14ac:dyDescent="0.2">
      <c r="A19" t="s">
        <v>19</v>
      </c>
      <c r="B19" t="b" cm="1">
        <f t="array" ref="B19">EXACT("a","A")</f>
        <v>0</v>
      </c>
    </row>
    <row r="20" spans="1:2" ht="15" x14ac:dyDescent="0.2">
      <c r="A20" t="s">
        <v>20</v>
      </c>
      <c r="B20" cm="1">
        <f t="array" ref="B20">CODE("A")</f>
        <v>65</v>
      </c>
    </row>
    <row r="21" spans="1:2" ht="15" x14ac:dyDescent="0.2">
      <c r="A21" t="s">
        <v>21</v>
      </c>
      <c r="B21" t="str" cm="1">
        <f t="array" ref="B21">CHAR(65)</f>
        <v>A</v>
      </c>
    </row>
    <row r="22" spans="1:2" ht="15" x14ac:dyDescent="0.2">
      <c r="A22" t="s">
        <v>22</v>
      </c>
      <c r="B22" t="str" cm="1">
        <f t="array" ref="B22">_xlfn.UNICHAR(128512)</f>
        <v>😀</v>
      </c>
    </row>
    <row r="23" spans="1:2" ht="15" x14ac:dyDescent="0.2">
      <c r="A23" t="s">
        <v>23</v>
      </c>
      <c r="B23" cm="1">
        <f t="array" ref="B23">VALUE("1,234.5")</f>
        <v>1234.5</v>
      </c>
    </row>
    <row r="24" spans="1:2" ht="15" x14ac:dyDescent="0.2">
      <c r="A24" t="s">
        <v>24</v>
      </c>
      <c r="B24" cm="1">
        <f t="array" ref="B24">VALUE("12%")</f>
        <v>0.12</v>
      </c>
    </row>
    <row r="25" spans="1:2" ht="15" x14ac:dyDescent="0.2">
      <c r="A25" t="s">
        <v>25</v>
      </c>
      <c r="B25" t="e" cm="1">
        <f t="array" ref="B25">VALUE("abc")</f>
        <v>#VALUE!</v>
      </c>
    </row>
    <row r="26" spans="1:2" ht="15" x14ac:dyDescent="0.2">
      <c r="A26" t="s">
        <v>26</v>
      </c>
      <c r="B26" cm="1">
        <f t="array" ref="B26">_xlfn.NUMBERVALUE("1.234,5",",",".")</f>
        <v>1234.5</v>
      </c>
    </row>
    <row r="27" spans="1:2" ht="15" x14ac:dyDescent="0.2">
      <c r="A27" t="s">
        <v>27</v>
      </c>
      <c r="B27" t="str" cm="1">
        <f t="array" ref="B27">TEXT(1234.567,"#,##0.00")</f>
        <v>1,234.57</v>
      </c>
    </row>
    <row r="28" spans="1:2" ht="15" x14ac:dyDescent="0.2">
      <c r="A28" t="s">
        <v>28</v>
      </c>
      <c r="B28" t="str" cm="1">
        <f t="array" ref="B28">TEXT(0.5,"0%")</f>
        <v>50%</v>
      </c>
    </row>
    <row r="29" spans="1:2" ht="15" x14ac:dyDescent="0.2">
      <c r="A29" t="s">
        <v>29</v>
      </c>
      <c r="B29" t="str" cm="1">
        <f t="array" ref="B29">TEXT(45351,"dddd, mmmm d, yyyy")</f>
        <v>Thursday, February 29, 2024</v>
      </c>
    </row>
    <row r="30" spans="1:2" ht="15" x14ac:dyDescent="0.2">
      <c r="A30" t="s">
        <v>30</v>
      </c>
      <c r="B30" t="str" cm="1">
        <f t="array" ref="B30">TEXT(-1.5,"0.0;(0.0)")</f>
        <v>(1.5)</v>
      </c>
    </row>
    <row r="31" spans="1:2" ht="15" x14ac:dyDescent="0.2">
      <c r="A31" t="s">
        <v>31</v>
      </c>
      <c r="B31" t="str" cm="1">
        <f t="array" ref="B31">TEXT(0.75,"h:mm AM/PM")</f>
        <v>6:00 PM</v>
      </c>
    </row>
    <row r="32" spans="1:2" ht="15" x14ac:dyDescent="0.2">
      <c r="A32" t="s">
        <v>32</v>
      </c>
      <c r="B32" t="str" cm="1">
        <f t="array" ref="B32">TEXT(1234567,"0.00E+00")</f>
        <v>1.23E+06</v>
      </c>
    </row>
    <row r="33" spans="1:2" ht="15" x14ac:dyDescent="0.2">
      <c r="A33" t="s">
        <v>33</v>
      </c>
      <c r="B33" t="str" cm="1">
        <f t="array" ref="B33">TEXT(3.14159,"# ?/?")</f>
        <v>3 1/7</v>
      </c>
    </row>
    <row r="34" spans="1:2" ht="15" x14ac:dyDescent="0.2">
      <c r="A34" t="s">
        <v>34</v>
      </c>
      <c r="B34" t="str" cm="1">
        <f t="array" ref="B34">FIXED(1234.567,1)</f>
        <v>1,234.6</v>
      </c>
    </row>
    <row r="35" spans="1:2" ht="15" x14ac:dyDescent="0.2">
      <c r="A35" t="s">
        <v>35</v>
      </c>
      <c r="B35" t="str" cm="1">
        <f t="array" ref="B35">DOLLAR(-1234.5)</f>
        <v>($1,234.50)</v>
      </c>
    </row>
    <row r="36" spans="1:2" ht="15" x14ac:dyDescent="0.2">
      <c r="A36" t="s">
        <v>36</v>
      </c>
      <c r="B36" t="str" cm="1">
        <f t="array" ref="B36">T(5)</f>
        <v/>
      </c>
    </row>
    <row r="37" spans="1:2" ht="15" x14ac:dyDescent="0.2">
      <c r="A37" t="s">
        <v>37</v>
      </c>
      <c r="B37" cm="1">
        <f t="array" ref="B37">N("5")</f>
        <v>0</v>
      </c>
    </row>
    <row r="38" spans="1:2" ht="15" x14ac:dyDescent="0.2">
      <c r="A38" t="s">
        <v>38</v>
      </c>
      <c r="B38" t="str" cm="1">
        <f t="array" ref="B38">CLEAN("a"&amp;CHAR(7)&amp;"b")</f>
        <v>ab</v>
      </c>
    </row>
    <row r="39" spans="1:2" ht="15" x14ac:dyDescent="0.2">
      <c r="A39" t="s">
        <v>39</v>
      </c>
      <c r="B39" t="str" cm="1">
        <f t="array" ref="B39">_xlfn.TEXTBEFORE("a-b-c","-",-1)</f>
        <v>a-b</v>
      </c>
    </row>
    <row r="40" spans="1:2" ht="15" x14ac:dyDescent="0.2">
      <c r="A40" t="s">
        <v>40</v>
      </c>
      <c r="B40" t="str" cm="1">
        <f t="array" ref="B40">_xlfn.TEXTAFTER("a-b-c","-")</f>
        <v>b-c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41</v>
      </c>
      <c r="D1">
        <v>10</v>
      </c>
      <c r="E1">
        <v>1</v>
      </c>
      <c r="F1" t="s">
        <v>42</v>
      </c>
      <c r="G1">
        <v>59</v>
      </c>
      <c r="H1">
        <v>2.5</v>
      </c>
    </row>
    <row r="2" spans="1:8" ht="15" x14ac:dyDescent="0.2">
      <c r="A2">
        <v>2</v>
      </c>
      <c r="B2" t="s">
        <v>43</v>
      </c>
      <c r="C2" t="s">
        <v>44</v>
      </c>
      <c r="D2">
        <v>20</v>
      </c>
      <c r="E2">
        <v>3</v>
      </c>
      <c r="F2" t="s">
        <v>45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46</v>
      </c>
      <c r="D3">
        <v>30</v>
      </c>
      <c r="E3">
        <v>5</v>
      </c>
      <c r="F3" t="s">
        <v>47</v>
      </c>
      <c r="G3">
        <v>45351</v>
      </c>
      <c r="H3">
        <v>4.7</v>
      </c>
    </row>
    <row r="4" spans="1:8" ht="15" x14ac:dyDescent="0.2">
      <c r="A4">
        <v>4</v>
      </c>
      <c r="C4" t="s">
        <v>41</v>
      </c>
      <c r="D4">
        <v>40</v>
      </c>
      <c r="E4">
        <v>7</v>
      </c>
      <c r="F4" t="s">
        <v>48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49</v>
      </c>
      <c r="D5">
        <v>50</v>
      </c>
      <c r="E5">
        <v>9</v>
      </c>
      <c r="F5" t="s">
        <v>50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51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2026-10-31T22:30:38Z</dcterms:created>
  <dcterms:modified xsi:type="dcterms:W3CDTF">2026-10-31T22:30:38Z</dcterms:modified>
</cp:coreProperties>
</file>